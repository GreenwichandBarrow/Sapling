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60" yWindow="760" windowWidth="27640" windowHeight="16900" tabRatio="600" firstSheet="0" activeTab="0" autoFilterDateGrouping="1"/>
  </bookViews>
  <sheets>
    <sheet xmlns:r="http://schemas.openxmlformats.org/officeDocument/2006/relationships" name="INITIAL SCREEN" sheetId="1" state="visible" r:id="rId1"/>
    <sheet xmlns:r="http://schemas.openxmlformats.org/officeDocument/2006/relationships" name="TEMPLATE" sheetId="2" state="visible" r:id="rId2"/>
  </sheets>
  <definedNames>
    <definedName name="_bdm.8018492968a5442495f20d90ab0edcf5.edm" hidden="1">#REF!</definedName>
    <definedName name="_bdm.FastTrackBookmark.10_31_2020_1_08_13_PM.edm" hidden="1">#REF!</definedName>
    <definedName name="_bdm.8018492968a5442495f20d90ab0edcf5.edm" localSheetId="1" hidden="1">TEMPLATE!$1:$1048576</definedName>
    <definedName name="_bdm.f13a6b620fec4e82afc4fa1e28cf992f.edm" localSheetId="1" hidden="1">TEMPLATE!#REF!</definedName>
    <definedName name="_bdm.FastTrackBookmark.10_31_2020_1_08_13_PM.edm" localSheetId="1" hidden="1">TEMPLATE!$C$8</definedName>
  </definedNames>
  <calcPr calcId="191029" fullCalcOnLoad="1"/>
</workbook>
</file>

<file path=xl/styles.xml><?xml version="1.0" encoding="utf-8"?>
<styleSheet xmlns="http://schemas.openxmlformats.org/spreadsheetml/2006/main">
  <numFmts count="3">
    <numFmt numFmtId="164" formatCode="0.0%"/>
    <numFmt numFmtId="165" formatCode="#,##0.00_);\(#,##0.00\);#,##0.00_);@_)"/>
    <numFmt numFmtId="166" formatCode="#,##0_);\(#,##0\);#,##0_);@_)"/>
  </numFmts>
  <fonts count="11">
    <font>
      <name val="Calibri"/>
      <family val="2"/>
      <color theme="1"/>
      <sz val="11"/>
      <scheme val="minor"/>
    </font>
    <font>
      <name val="Calibri"/>
      <family val="2"/>
      <color theme="1"/>
      <sz val="11"/>
      <scheme val="minor"/>
    </font>
    <font>
      <name val="Calibri"/>
      <family val="2"/>
      <color theme="1"/>
      <sz val="10"/>
    </font>
    <font>
      <name val="Calibri"/>
      <family val="2"/>
      <b val="1"/>
      <color theme="0"/>
      <sz val="10"/>
    </font>
    <font>
      <name val="Calibri"/>
      <family val="2"/>
      <color theme="0"/>
      <sz val="10"/>
    </font>
    <font>
      <name val="Calibri"/>
      <family val="2"/>
      <b val="1"/>
      <color theme="1"/>
      <sz val="10"/>
    </font>
    <font>
      <name val="Calibri"/>
      <family val="2"/>
      <b val="1"/>
      <color rgb="FF0000FF"/>
      <sz val="10"/>
    </font>
    <font>
      <name val="Calibri"/>
      <family val="2"/>
      <color rgb="FF0000FF"/>
      <sz val="10"/>
    </font>
    <font>
      <name val="Calibri"/>
      <family val="2"/>
      <i val="1"/>
      <color theme="1"/>
      <sz val="8"/>
    </font>
    <font>
      <b val="1"/>
      <sz val="14"/>
    </font>
    <font>
      <b val="1"/>
    </font>
  </fonts>
  <fills count="4">
    <fill>
      <patternFill/>
    </fill>
    <fill>
      <patternFill patternType="gray125"/>
    </fill>
    <fill>
      <patternFill patternType="solid">
        <fgColor theme="1"/>
        <bgColor indexed="64"/>
      </patternFill>
    </fill>
    <fill>
      <patternFill patternType="solid">
        <fgColor theme="0" tint="-0.0499893185216834"/>
        <bgColor indexed="64"/>
      </patternFill>
    </fill>
  </fills>
  <borders count="21">
    <border>
      <left/>
      <right/>
      <top/>
      <bottom/>
      <diagonal/>
    </border>
    <border>
      <left/>
      <right/>
      <top style="thin">
        <color indexed="64"/>
      </top>
      <bottom/>
      <diagonal/>
    </border>
    <border>
      <left style="dashed">
        <color rgb="FF000000"/>
      </left>
      <right style="dashed">
        <color rgb="FF000000"/>
      </right>
      <top style="dashed">
        <color rgb="FF000000"/>
      </top>
      <bottom style="dashed">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dashed">
        <color rgb="FF000000"/>
      </right>
      <top/>
      <bottom style="thin">
        <color indexed="64"/>
      </bottom>
      <diagonal/>
    </border>
  </borders>
  <cellStyleXfs count="4">
    <xf numFmtId="0" fontId="1" fillId="0" borderId="0"/>
    <xf numFmtId="9" fontId="1" fillId="0" borderId="0"/>
    <xf numFmtId="0" fontId="2" fillId="0" borderId="0"/>
    <xf numFmtId="9" fontId="1" fillId="0" borderId="0"/>
  </cellStyleXfs>
  <cellXfs count="63">
    <xf numFmtId="0" fontId="0" fillId="0" borderId="0" pivotButton="0" quotePrefix="0" xfId="0"/>
    <xf numFmtId="9" fontId="2" fillId="0" borderId="0" applyAlignment="1" pivotButton="0" quotePrefix="0" xfId="1">
      <alignment horizontal="center" vertical="top"/>
    </xf>
    <xf numFmtId="0" fontId="2" fillId="0" borderId="0" pivotButton="0" quotePrefix="0" xfId="2"/>
    <xf numFmtId="9" fontId="2" fillId="0" borderId="0" pivotButton="0" quotePrefix="0" xfId="2"/>
    <xf numFmtId="0" fontId="5" fillId="0" borderId="5" pivotButton="0" quotePrefix="0" xfId="2"/>
    <xf numFmtId="16" fontId="5" fillId="0" borderId="0" applyAlignment="1" pivotButton="0" quotePrefix="1" xfId="2">
      <alignment horizontal="center"/>
    </xf>
    <xf numFmtId="9" fontId="5" fillId="0" borderId="0" applyAlignment="1" pivotButton="0" quotePrefix="1" xfId="1">
      <alignment horizontal="center" vertical="top"/>
    </xf>
    <xf numFmtId="9" fontId="5" fillId="0" borderId="6" applyAlignment="1" pivotButton="0" quotePrefix="1" xfId="1">
      <alignment horizontal="center" vertical="top"/>
    </xf>
    <xf numFmtId="0" fontId="2" fillId="0" borderId="0" applyAlignment="1" pivotButton="0" quotePrefix="0" xfId="2">
      <alignment horizontal="center"/>
    </xf>
    <xf numFmtId="0" fontId="2" fillId="0" borderId="6" pivotButton="0" quotePrefix="0" xfId="2"/>
    <xf numFmtId="0" fontId="2" fillId="0" borderId="5" applyAlignment="1" pivotButton="0" quotePrefix="1" xfId="2">
      <alignment horizontal="left" indent="1"/>
    </xf>
    <xf numFmtId="0" fontId="2" fillId="0" borderId="7" applyAlignment="1" pivotButton="0" quotePrefix="1" xfId="2">
      <alignment horizontal="left" indent="1"/>
    </xf>
    <xf numFmtId="0" fontId="2" fillId="0" borderId="8" pivotButton="0" quotePrefix="0" xfId="2"/>
    <xf numFmtId="0" fontId="2" fillId="0" borderId="9" pivotButton="0" quotePrefix="0" xfId="2"/>
    <xf numFmtId="0" fontId="5" fillId="0" borderId="10" pivotButton="0" quotePrefix="0" xfId="2"/>
    <xf numFmtId="9" fontId="5" fillId="0" borderId="0" applyAlignment="1" pivotButton="0" quotePrefix="0" xfId="2">
      <alignment horizontal="center"/>
    </xf>
    <xf numFmtId="0" fontId="2" fillId="0" borderId="11" pivotButton="0" quotePrefix="0" xfId="2"/>
    <xf numFmtId="0" fontId="2" fillId="0" borderId="12" pivotButton="0" quotePrefix="0" xfId="2"/>
    <xf numFmtId="0" fontId="5" fillId="0" borderId="11" pivotButton="0" quotePrefix="0" xfId="2"/>
    <xf numFmtId="0" fontId="2" fillId="0" borderId="14" applyAlignment="1" pivotButton="0" quotePrefix="1" xfId="2">
      <alignment horizontal="left" indent="1"/>
    </xf>
    <xf numFmtId="0" fontId="2" fillId="0" borderId="15" pivotButton="0" quotePrefix="0" xfId="2"/>
    <xf numFmtId="0" fontId="2" fillId="0" borderId="16" pivotButton="0" quotePrefix="0" xfId="2"/>
    <xf numFmtId="9" fontId="5" fillId="0" borderId="19" applyAlignment="1" pivotButton="0" quotePrefix="1" xfId="1">
      <alignment horizontal="center" vertical="top"/>
    </xf>
    <xf numFmtId="0" fontId="2" fillId="0" borderId="19" pivotButton="0" quotePrefix="0" xfId="2"/>
    <xf numFmtId="0" fontId="2" fillId="0" borderId="13" pivotButton="0" quotePrefix="0" xfId="2"/>
    <xf numFmtId="0" fontId="2" fillId="0" borderId="18" pivotButton="0" quotePrefix="0" xfId="2"/>
    <xf numFmtId="0" fontId="2" fillId="0" borderId="5" pivotButton="0" quotePrefix="0" xfId="2"/>
    <xf numFmtId="9" fontId="7" fillId="0" borderId="0" applyAlignment="1" pivotButton="0" quotePrefix="0" xfId="2">
      <alignment horizontal="center"/>
    </xf>
    <xf numFmtId="0" fontId="2" fillId="2" borderId="0" pivotButton="0" quotePrefix="0" xfId="2"/>
    <xf numFmtId="0" fontId="3" fillId="2" borderId="0" pivotButton="0" quotePrefix="0" xfId="2"/>
    <xf numFmtId="0" fontId="3" fillId="2" borderId="0" applyAlignment="1" pivotButton="0" quotePrefix="0" xfId="2">
      <alignment horizontal="right"/>
    </xf>
    <xf numFmtId="164" fontId="3" fillId="2" borderId="0" applyAlignment="1" pivotButton="0" quotePrefix="0" xfId="1">
      <alignment horizontal="center" vertical="top"/>
    </xf>
    <xf numFmtId="165" fontId="3" fillId="2" borderId="0" applyAlignment="1" pivotButton="0" quotePrefix="0" xfId="1">
      <alignment horizontal="center" vertical="top"/>
    </xf>
    <xf numFmtId="0" fontId="4" fillId="2" borderId="0" pivotButton="0" quotePrefix="0" xfId="2"/>
    <xf numFmtId="166" fontId="3" fillId="2" borderId="0" applyAlignment="1" pivotButton="0" quotePrefix="0" xfId="1">
      <alignment horizontal="center" vertical="top"/>
    </xf>
    <xf numFmtId="0" fontId="3" fillId="2" borderId="3" pivotButton="0" quotePrefix="0" xfId="2"/>
    <xf numFmtId="0" fontId="3" fillId="2" borderId="1" applyAlignment="1" pivotButton="0" quotePrefix="0" xfId="2">
      <alignment horizontal="center"/>
    </xf>
    <xf numFmtId="9" fontId="3" fillId="2" borderId="1" applyAlignment="1" pivotButton="0" quotePrefix="0" xfId="1">
      <alignment horizontal="center"/>
    </xf>
    <xf numFmtId="9" fontId="3" fillId="2" borderId="1" pivotButton="0" quotePrefix="0" xfId="1"/>
    <xf numFmtId="9" fontId="3" fillId="2" borderId="4" pivotButton="0" quotePrefix="0" xfId="1"/>
    <xf numFmtId="0" fontId="3" fillId="2" borderId="17" applyAlignment="1" pivotButton="0" quotePrefix="0" xfId="2">
      <alignment horizontal="center"/>
    </xf>
    <xf numFmtId="0" fontId="3" fillId="2" borderId="7" pivotButton="0" quotePrefix="0" xfId="2"/>
    <xf numFmtId="16" fontId="3" fillId="2" borderId="8" applyAlignment="1" pivotButton="0" quotePrefix="1" xfId="2">
      <alignment horizontal="center"/>
    </xf>
    <xf numFmtId="9" fontId="3" fillId="2" borderId="8" applyAlignment="1" pivotButton="0" quotePrefix="0" xfId="1">
      <alignment horizontal="center"/>
    </xf>
    <xf numFmtId="9" fontId="3" fillId="2" borderId="8" applyAlignment="1" pivotButton="0" quotePrefix="1" xfId="1">
      <alignment horizontal="center"/>
    </xf>
    <xf numFmtId="9" fontId="3" fillId="2" borderId="9" applyAlignment="1" pivotButton="0" quotePrefix="1" xfId="1">
      <alignment horizontal="center"/>
    </xf>
    <xf numFmtId="9" fontId="3" fillId="2" borderId="18" applyAlignment="1" pivotButton="0" quotePrefix="1" xfId="1">
      <alignment horizontal="center"/>
    </xf>
    <xf numFmtId="0" fontId="6" fillId="3" borderId="2" applyAlignment="1" pivotButton="0" quotePrefix="0" xfId="2">
      <alignment horizontal="center"/>
    </xf>
    <xf numFmtId="0" fontId="7" fillId="3" borderId="2" applyAlignment="1" pivotButton="0" quotePrefix="0" xfId="2">
      <alignment horizontal="center"/>
    </xf>
    <xf numFmtId="2" fontId="6" fillId="3" borderId="2" applyAlignment="1" pivotButton="0" quotePrefix="0" xfId="2">
      <alignment horizontal="center"/>
    </xf>
    <xf numFmtId="2" fontId="2" fillId="0" borderId="0" pivotButton="0" quotePrefix="0" xfId="2"/>
    <xf numFmtId="2" fontId="2" fillId="0" borderId="15" pivotButton="0" quotePrefix="0" xfId="2"/>
    <xf numFmtId="2" fontId="2" fillId="0" borderId="8" pivotButton="0" quotePrefix="0" xfId="2"/>
    <xf numFmtId="0" fontId="2" fillId="0" borderId="5" applyAlignment="1" pivotButton="0" quotePrefix="0" xfId="2">
      <alignment wrapText="1"/>
    </xf>
    <xf numFmtId="9" fontId="5" fillId="0" borderId="0" applyAlignment="1" pivotButton="0" quotePrefix="0" xfId="3">
      <alignment horizontal="center" vertical="top"/>
    </xf>
    <xf numFmtId="9" fontId="5" fillId="0" borderId="0" applyAlignment="1" pivotButton="0" quotePrefix="1" xfId="3">
      <alignment horizontal="center" vertical="top"/>
    </xf>
    <xf numFmtId="0" fontId="4" fillId="0" borderId="0" pivotButton="0" quotePrefix="0" xfId="2"/>
    <xf numFmtId="0" fontId="4" fillId="0" borderId="20" pivotButton="0" quotePrefix="0" xfId="2"/>
    <xf numFmtId="0" fontId="3" fillId="2" borderId="4" applyAlignment="1" pivotButton="0" quotePrefix="0" xfId="2">
      <alignment horizontal="center"/>
    </xf>
    <xf numFmtId="0" fontId="0" fillId="0" borderId="1" pivotButton="0" quotePrefix="0" xfId="0"/>
    <xf numFmtId="0" fontId="0" fillId="0" borderId="4" pivotButton="0" quotePrefix="0" xfId="0"/>
    <xf numFmtId="0" fontId="9" fillId="0" borderId="0" pivotButton="0" quotePrefix="0" xfId="0"/>
    <xf numFmtId="0" fontId="10" fillId="0" borderId="0" pivotButton="0" quotePrefix="0" xfId="0"/>
  </cellXfs>
  <cellStyles count="4">
    <cellStyle name="Normal" xfId="0" builtinId="0"/>
    <cellStyle name="Percent" xfId="1" builtinId="5"/>
    <cellStyle name="Normal 2" xfId="2"/>
    <cellStyle name="Percent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3:E15"/>
  <sheetViews>
    <sheetView workbookViewId="0">
      <selection activeCell="A1" sqref="A1"/>
    </sheetView>
  </sheetViews>
  <sheetFormatPr baseColWidth="8" defaultRowHeight="15"/>
  <cols>
    <col width="45" customWidth="1" min="2" max="2"/>
    <col width="12" customWidth="1" min="3" max="3"/>
    <col width="55" customWidth="1" min="4" max="4"/>
    <col width="30" customWidth="1" min="5" max="5"/>
  </cols>
  <sheetData>
    <row r="3">
      <c r="B3" s="61" t="inlineStr">
        <is>
          <t>Estate Management Companies Initial Screen</t>
        </is>
      </c>
    </row>
    <row r="5">
      <c r="B5" s="62" t="inlineStr">
        <is>
          <t>Initial Screen</t>
        </is>
      </c>
      <c r="C5" s="62" t="inlineStr">
        <is>
          <t>Pass/Fail</t>
        </is>
      </c>
      <c r="D5" s="62" t="inlineStr">
        <is>
          <t>Criteria</t>
        </is>
      </c>
      <c r="E5" s="62" t="inlineStr">
        <is>
          <t>Notes</t>
        </is>
      </c>
    </row>
    <row r="6">
      <c r="B6" t="inlineStr">
        <is>
          <t>Margins</t>
        </is>
      </c>
      <c r="C6" t="inlineStr">
        <is>
          <t>PASS</t>
        </is>
      </c>
      <c r="D6" t="inlineStr">
        <is>
          <t>15%+ EBITDA margins required</t>
        </is>
      </c>
      <c r="E6" t="inlineStr">
        <is>
          <t>EBITDA margins 15-32% typical for estate management firms. Top performers at 30%+. Low capital intensity (labor + vendor coordination), retainer-based revenue. Industry average profitability 11%, top quartile 32%.</t>
        </is>
      </c>
    </row>
    <row r="7">
      <c r="B7" t="inlineStr">
        <is>
          <t>Recurring Revenue</t>
        </is>
      </c>
      <c r="C7" t="inlineStr">
        <is>
          <t>PASS</t>
        </is>
      </c>
      <c r="D7" t="inlineStr">
        <is>
          <t>Existing recurring/contractual revenue or clear path to convert</t>
        </is>
      </c>
      <c r="E7" t="inlineStr">
        <is>
          <t>Monthly/annual retainer contracts are the standard model. Estates require year-round management (seasonal transitions, vendor oversight, maintenance). 80-90% recurring revenue once client relationships are established. High switching costs due to trust/access requirements.</t>
        </is>
      </c>
    </row>
    <row r="8">
      <c r="B8" t="inlineStr">
        <is>
          <t>Industry Growth</t>
        </is>
      </c>
      <c r="C8" t="inlineStr">
        <is>
          <t>PASS</t>
        </is>
      </c>
      <c r="D8" t="inlineStr">
        <is>
          <t>Growth rate above GDP (~3%+)</t>
        </is>
      </c>
      <c r="E8" t="inlineStr">
        <is>
          <t>UHNW population grew 21% in 2024, 6.5% in H1 2025. US has 148K-220K UHNW individuals, each averaging 3-4 homes. Property management market CAGR 3.9% (2026-2031), but UHNW estate management segment growing faster at 6-8% driven by wealth creation and multi-property complexity.</t>
        </is>
      </c>
    </row>
    <row r="9">
      <c r="B9" t="inlineStr">
        <is>
          <t>Growth TAM</t>
        </is>
      </c>
      <c r="C9" t="inlineStr">
        <is>
          <t>PASS</t>
        </is>
      </c>
      <c r="D9" t="inlineStr">
        <is>
          <t>$500M+ total addressable market (investor floor)</t>
        </is>
      </c>
      <c r="E9" t="inlineStr">
        <is>
          <t>US UHNW population: 148K-220K individuals, avg 3-4 homes = 450K-880K estates needing management. At $60K-$300K+ annual management fees per estate, TAM = $27B-$264B. Conservative estimate for professional estate management addressable market: $2-5B+ (penetration still low, most managed informally).</t>
        </is>
      </c>
    </row>
    <row r="11">
      <c r="B11" s="62" t="inlineStr">
        <is>
          <t>VERDICT</t>
        </is>
      </c>
      <c r="C11" t="inlineStr">
        <is>
          <t>PASS</t>
        </is>
      </c>
      <c r="D11" t="inlineStr">
        <is>
          <t>All 4 must pass to proceed to Industry Scorecard</t>
        </is>
      </c>
      <c r="E11" t="inlineStr">
        <is>
          <t>All 4 criteria pass. Proceed to Industry Scorecard.</t>
        </is>
      </c>
    </row>
    <row r="13">
      <c r="B13" s="62" t="inlineStr">
        <is>
          <t>Target TAM (informational — not scored)</t>
        </is>
      </c>
      <c r="C13" t="inlineStr">
        <is>
          <t>$2-5B+</t>
        </is>
      </c>
    </row>
    <row r="14">
      <c r="B14" t="inlineStr">
        <is>
          <t>Number of independently owned acquisition candidates</t>
        </is>
      </c>
      <c r="C14" t="inlineStr">
        <is>
          <t>200+</t>
        </is>
      </c>
      <c r="D14" t="inlineStr">
        <is>
          <t>Determines sprint duration, not go/no-go</t>
        </is>
      </c>
      <c r="E14" t="inlineStr">
        <is>
          <t>Highly fragmented market with hundreds of independent operators across Hamptons, Palm Beach, Aspen, Greenwich, Beverly Hills, NYC. Most are small (&lt;$5M revenue) owner-operated firms.</t>
        </is>
      </c>
    </row>
    <row r="15">
      <c r="B15" t="inlineStr">
        <is>
          <t>Sprint duration estimate</t>
        </is>
      </c>
      <c r="C15" t="inlineStr">
        <is>
          <t>Long sprint</t>
        </is>
      </c>
      <c r="D15" t="inlineStr">
        <is>
          <t>50+ = long sprint | 20-50 = focused | 10-20 = fast | &lt;10 = very fast</t>
        </is>
      </c>
      <c r="E15" t="inlineStr">
        <is>
          <t>200+ independently owned candidates across key luxury geographies</t>
        </is>
      </c>
    </row>
  </sheetData>
  <pageMargins left="0.75" right="0.75" top="1" bottom="1" header="0.5" footer="0.5"/>
</worksheet>
</file>

<file path=xl/worksheets/sheet2.xml><?xml version="1.0" encoding="utf-8"?>
<worksheet xmlns="http://schemas.openxmlformats.org/spreadsheetml/2006/main">
  <sheetPr>
    <tabColor theme="0"/>
    <outlinePr summaryBelow="1" summaryRight="1"/>
    <pageSetUpPr/>
  </sheetPr>
  <dimension ref="B2:J99"/>
  <sheetViews>
    <sheetView showGridLines="0" tabSelected="1" topLeftCell="A44" zoomScale="170" zoomScaleNormal="170" workbookViewId="0">
      <selection activeCell="B27" sqref="B27"/>
    </sheetView>
  </sheetViews>
  <sheetFormatPr baseColWidth="10" defaultColWidth="8.83203125" defaultRowHeight="14"/>
  <cols>
    <col width="1.33203125" customWidth="1" style="2" min="1" max="1"/>
    <col width="47.33203125" customWidth="1" style="2" min="2" max="2"/>
    <col outlineLevel="1" width="11.83203125" customWidth="1" style="2" min="3" max="4"/>
    <col outlineLevel="1" width="8.33203125" customWidth="1" style="2" min="5" max="5"/>
    <col width="3.1640625" bestFit="1" customWidth="1" style="2" min="6" max="6"/>
    <col outlineLevel="1" width="25.6640625" customWidth="1" style="2" min="7" max="7"/>
    <col outlineLevel="1" width="32" customWidth="1" style="2" min="8" max="8"/>
    <col outlineLevel="1" width="23" customWidth="1" style="2" min="9" max="9"/>
    <col width="32.1640625" customWidth="1" style="2" min="10" max="10"/>
    <col width="8.83203125" customWidth="1" style="2" min="11" max="11"/>
    <col width="8.83203125" customWidth="1" style="2" min="12" max="16384"/>
  </cols>
  <sheetData>
    <row r="1" customFormat="1" s="28"/>
    <row r="2" customFormat="1" s="28">
      <c r="B2" s="29" t="n"/>
      <c r="C2" s="30" t="n"/>
      <c r="D2" s="31" t="n"/>
      <c r="E2" s="31" t="n"/>
      <c r="F2" s="31" t="n"/>
      <c r="G2" s="32" t="n"/>
      <c r="H2" s="32" t="n"/>
      <c r="I2" s="30" t="n"/>
    </row>
    <row r="3" customFormat="1" s="28">
      <c r="B3" s="33" t="inlineStr">
        <is>
          <t>Estate Management Companies Industry Scorecard</t>
        </is>
      </c>
      <c r="C3" s="30" t="n"/>
      <c r="D3" s="34" t="n"/>
      <c r="E3" s="34" t="n"/>
      <c r="F3" s="34" t="n"/>
      <c r="G3" s="32" t="n"/>
      <c r="H3" s="32" t="n"/>
      <c r="I3" s="30" t="n"/>
    </row>
    <row r="4" ht="6" customHeight="1">
      <c r="D4" s="1" t="n"/>
      <c r="E4" s="1" t="n"/>
      <c r="F4" s="1" t="n"/>
      <c r="G4" s="1" t="n"/>
      <c r="H4" s="1" t="n"/>
    </row>
    <row r="5" ht="14.5" customHeight="1">
      <c r="B5" s="35" t="inlineStr">
        <is>
          <t>Estate Management Companies Industry Scorecard</t>
        </is>
      </c>
      <c r="C5" s="36" t="inlineStr">
        <is>
          <t>Score</t>
        </is>
      </c>
      <c r="D5" s="37" t="inlineStr">
        <is>
          <t>Weight</t>
        </is>
      </c>
      <c r="E5" s="38" t="inlineStr">
        <is>
          <t>Evaluation</t>
        </is>
      </c>
      <c r="F5" s="39" t="n"/>
      <c r="G5" s="58" t="inlineStr">
        <is>
          <t>Criteria for Evaluation</t>
        </is>
      </c>
      <c r="H5" s="59" t="n"/>
      <c r="I5" s="60" t="n"/>
      <c r="J5" s="40" t="inlineStr">
        <is>
          <t>General Commentary / Supporting Data</t>
        </is>
      </c>
    </row>
    <row r="6">
      <c r="B6" s="41" t="n"/>
      <c r="C6" s="42" t="inlineStr">
        <is>
          <t>(1-3)</t>
        </is>
      </c>
      <c r="D6" s="43" t="inlineStr">
        <is>
          <t>(%)</t>
        </is>
      </c>
      <c r="E6" s="44" t="inlineStr">
        <is>
          <t>+/-</t>
        </is>
      </c>
      <c r="F6" s="45" t="n"/>
      <c r="G6" s="44" t="inlineStr">
        <is>
          <t>+</t>
        </is>
      </c>
      <c r="H6" s="44" t="inlineStr">
        <is>
          <t>+/-</t>
        </is>
      </c>
      <c r="I6" s="45" t="inlineStr">
        <is>
          <t>-</t>
        </is>
      </c>
      <c r="J6" s="46" t="n"/>
    </row>
    <row r="7" ht="6" customHeight="1">
      <c r="B7" s="4" t="n"/>
      <c r="C7" s="5" t="n"/>
      <c r="D7" s="54" t="n"/>
      <c r="E7" s="55" t="n"/>
      <c r="F7" s="7" t="n"/>
      <c r="G7" s="6" t="n"/>
      <c r="H7" s="6" t="n"/>
      <c r="I7" s="7" t="n"/>
      <c r="J7" s="22" t="n"/>
    </row>
    <row r="8">
      <c r="B8" s="4" t="inlineStr">
        <is>
          <t>Growth, Penetration and Catalyst</t>
        </is>
      </c>
      <c r="C8" s="49">
        <f>AVERAGE(D9:D12)</f>
        <v/>
      </c>
      <c r="D8" s="15" t="n">
        <v>0.25</v>
      </c>
      <c r="E8" s="8" t="n"/>
      <c r="F8" s="9" t="n"/>
      <c r="I8" s="9" t="n"/>
      <c r="J8" s="23" t="n"/>
    </row>
    <row r="9" ht="12.75" customHeight="1">
      <c r="B9" s="10" t="inlineStr">
        <is>
          <t>- Growth relative to GDP (5 yr CAGR)</t>
        </is>
      </c>
      <c r="C9" s="50" t="n"/>
      <c r="D9" s="56">
        <f t="array" ref="D9">_xlfn.SWITCH(E9,"+",3,"+/-",2,"-",1)</f>
        <v/>
      </c>
      <c r="E9" s="48" t="inlineStr">
        <is>
          <t>+</t>
        </is>
      </c>
      <c r="F9" s="9" t="n"/>
      <c r="G9" s="2" t="inlineStr">
        <is>
          <t>&gt;3x GDP growth</t>
        </is>
      </c>
      <c r="H9" s="2" t="inlineStr">
        <is>
          <t>1-3x GDP growth</t>
        </is>
      </c>
      <c r="I9" s="9" t="inlineStr">
        <is>
          <t>Growth with GDP or below</t>
        </is>
      </c>
      <c r="J9" s="23" t="inlineStr">
        <is>
          <t>UHNW population grew 21% in 2024. Estate management segment CAGR 6-8%, driven by wealth creation and multi-property proliferation. Well above GDP growth of 2-3%.</t>
        </is>
      </c>
    </row>
    <row r="10" ht="12.75" customHeight="1">
      <c r="B10" s="10" t="inlineStr">
        <is>
          <t>- Industry penetration</t>
        </is>
      </c>
      <c r="C10" s="50" t="n"/>
      <c r="D10" s="56">
        <f t="array" ref="D10">_xlfn.SWITCH(E10,"+",3,"+/-",2,"-",1)</f>
        <v/>
      </c>
      <c r="E10" s="48" t="inlineStr">
        <is>
          <t>+</t>
        </is>
      </c>
      <c r="F10" s="9" t="inlineStr">
        <is>
          <t>+/-</t>
        </is>
      </c>
      <c r="G10" s="2" t="inlineStr">
        <is>
          <t>Strong catalyst</t>
        </is>
      </c>
      <c r="H10" s="2" t="inlineStr">
        <is>
          <t>Potential catalyst</t>
        </is>
      </c>
      <c r="I10" s="9" t="inlineStr">
        <is>
          <t>No clear catalyst</t>
        </is>
      </c>
      <c r="J10" s="23" t="inlineStr">
        <is>
          <t>Low professional penetration. Most estates managed by individual estate managers or family members. Professional firms serve &lt;15% of addressable market. Strong catalyst: growing complexity of multi-property portfolios drives outsourcing.</t>
        </is>
      </c>
    </row>
    <row r="11" ht="12.75" customHeight="1">
      <c r="B11" s="10" t="inlineStr">
        <is>
          <t>- future growth expectations</t>
        </is>
      </c>
      <c r="C11" s="50" t="n"/>
      <c r="D11" s="56">
        <f t="array" ref="D11">_xlfn.SWITCH(E11,"+",3,"+/-",2,"-",1)</f>
        <v/>
      </c>
      <c r="E11" s="48" t="inlineStr">
        <is>
          <t>+</t>
        </is>
      </c>
      <c r="F11" s="9" t="n"/>
      <c r="G11" s="2" t="inlineStr">
        <is>
          <t>Mostly Tailwinds</t>
        </is>
      </c>
      <c r="H11" s="2" t="inlineStr">
        <is>
          <t>Mix of Tailwinds/Headwinds</t>
        </is>
      </c>
      <c r="I11" s="9" t="inlineStr">
        <is>
          <t>Mostly Headwinds</t>
        </is>
      </c>
      <c r="J11" s="23" t="inlineStr">
        <is>
          <t>Mostly tailwinds: UHNW population projected 28% growth in North America, multi-property ownership increasing, generational wealth transfer creating demand for professional management. Only minor headwind: economic downturn sensitivity.</t>
        </is>
      </c>
    </row>
    <row r="12" ht="12.75" customHeight="1">
      <c r="B12" s="19" t="inlineStr">
        <is>
          <t>- Evidence to support a catalyst</t>
        </is>
      </c>
      <c r="C12" s="51" t="n"/>
      <c r="D12" s="57">
        <f t="array" ref="D12">_xlfn.SWITCH(E12,"+",3,"+/-",2,"-",1)</f>
        <v/>
      </c>
      <c r="E12" s="48" t="inlineStr">
        <is>
          <t>+/-</t>
        </is>
      </c>
      <c r="F12" s="21" t="n"/>
      <c r="G12" s="20" t="inlineStr">
        <is>
          <t>Strong catalyst</t>
        </is>
      </c>
      <c r="H12" s="20" t="inlineStr">
        <is>
          <t>Potential catalyst</t>
        </is>
      </c>
      <c r="I12" s="21" t="inlineStr">
        <is>
          <t>No clear catalyst</t>
        </is>
      </c>
      <c r="J12" s="24" t="inlineStr">
        <is>
          <t>Catalyst is professionalization trend, not a regulatory mandate. Evidence: salary growth 20-30% since 2022, staffing agencies proliferating, family offices increasingly outsourcing property operations. Gradual but sustained.</t>
        </is>
      </c>
    </row>
    <row r="13" ht="12.75" customHeight="1">
      <c r="B13" s="4" t="inlineStr">
        <is>
          <t>Size and Fragmentation</t>
        </is>
      </c>
      <c r="C13" s="49">
        <f>AVERAGE(D14:D15)</f>
        <v/>
      </c>
      <c r="D13" s="15" t="n">
        <v>0.1</v>
      </c>
      <c r="E13" s="8" t="n"/>
      <c r="F13" s="9" t="n"/>
      <c r="I13" s="9" t="n"/>
      <c r="J13" s="23" t="n"/>
    </row>
    <row r="14" ht="12.75" customHeight="1">
      <c r="B14" s="10" t="inlineStr">
        <is>
          <t>- Number of players</t>
        </is>
      </c>
      <c r="C14" s="50" t="n"/>
      <c r="D14" s="56">
        <f t="array" ref="D14">_xlfn.SWITCH(E14,"+",3,"+/-",2,"-",1)</f>
        <v/>
      </c>
      <c r="E14" s="48" t="inlineStr">
        <is>
          <t>+/-</t>
        </is>
      </c>
      <c r="F14" s="9" t="n"/>
      <c r="G14" s="2" t="inlineStr">
        <is>
          <t>Thousands of players</t>
        </is>
      </c>
      <c r="H14" s="2" t="inlineStr">
        <is>
          <t>Hundreds of players</t>
        </is>
      </c>
      <c r="I14" s="2" t="inlineStr">
        <is>
          <t>Dozens of players</t>
        </is>
      </c>
      <c r="J14" s="23" t="inlineStr">
        <is>
          <t>Hundreds of independent operators across key luxury markets (Hamptons, Palm Beach, Aspen, Greenwich, Beverly Hills). Most are small firms (&lt;$5M revenue). Not quite thousands like standard property management, but highly fragmented.</t>
        </is>
      </c>
    </row>
    <row r="15" ht="12.75" customHeight="1">
      <c r="B15" s="19" t="inlineStr">
        <is>
          <t>- Market share concentration</t>
        </is>
      </c>
      <c r="C15" s="51" t="n"/>
      <c r="D15" s="57">
        <f t="array" ref="D15">_xlfn.SWITCH(E15,"+",3,"+/-",2,"-",1)</f>
        <v/>
      </c>
      <c r="E15" s="48" t="inlineStr">
        <is>
          <t>+</t>
        </is>
      </c>
      <c r="F15" s="21" t="n"/>
      <c r="G15" s="20" t="inlineStr">
        <is>
          <t>Largest have &lt;10% mkt sh.</t>
        </is>
      </c>
      <c r="H15" s="20" t="inlineStr">
        <is>
          <t>Largest have &lt;25% mkt sh.</t>
        </is>
      </c>
      <c r="I15" s="21" t="inlineStr">
        <is>
          <t>Largest have &gt;50% mkt sh.</t>
        </is>
      </c>
      <c r="J15" s="24" t="inlineStr">
        <is>
          <t>No dominant national player. Largest firms (HCMC, Hamptons Estate Management) have &lt;5% share even in their home markets. Extremely fragmented. No PE roll-up has occurred yet in UHNW estate management.</t>
        </is>
      </c>
    </row>
    <row r="16" ht="12.75" customHeight="1">
      <c r="B16" s="4" t="inlineStr">
        <is>
          <t>Industry Economics</t>
        </is>
      </c>
      <c r="C16" s="49">
        <f>AVERAGE(D17:D19)</f>
        <v/>
      </c>
      <c r="D16" s="15" t="n">
        <v>0.1</v>
      </c>
      <c r="E16" s="8" t="n"/>
      <c r="F16" s="9" t="n"/>
      <c r="I16" s="9" t="n"/>
      <c r="J16" s="23" t="n"/>
    </row>
    <row r="17" ht="12.75" customHeight="1">
      <c r="B17" s="10" t="inlineStr">
        <is>
          <t>- Average industry gross margins</t>
        </is>
      </c>
      <c r="C17" s="50" t="n"/>
      <c r="D17" s="56">
        <f t="array" ref="D17">_xlfn.SWITCH(E17,"+",3,"+/-",2,"-",1)</f>
        <v/>
      </c>
      <c r="E17" s="48" t="inlineStr">
        <is>
          <t>+/-</t>
        </is>
      </c>
      <c r="F17" s="9" t="n"/>
      <c r="G17" s="2" t="inlineStr">
        <is>
          <t>60-90% gross margins</t>
        </is>
      </c>
      <c r="H17" s="2" t="inlineStr">
        <is>
          <t>40-60% gross margins</t>
        </is>
      </c>
      <c r="I17" s="9" t="inlineStr">
        <is>
          <t>10-40% gross margins</t>
        </is>
      </c>
      <c r="J17" s="23" t="inlineStr">
        <is>
          <t>Gross margins 40-60%. Revenue primarily from management fees and vendor markup/coordination fees. Labor costs (estate managers, project coordinators) are primary COGS. Not as high as pure software but strong for services.</t>
        </is>
      </c>
    </row>
    <row r="18" ht="12.75" customHeight="1">
      <c r="B18" s="10" t="inlineStr">
        <is>
          <t>- Average industry EBITDA margins</t>
        </is>
      </c>
      <c r="C18" s="50" t="n"/>
      <c r="D18" s="56">
        <f t="array" ref="D18">_xlfn.SWITCH(E18,"+",3,"+/-",2,"-",1)</f>
        <v/>
      </c>
      <c r="E18" s="48" t="inlineStr">
        <is>
          <t>+/-</t>
        </is>
      </c>
      <c r="F18" s="9" t="n"/>
      <c r="G18" s="2" t="inlineStr">
        <is>
          <t>30-60% EBITDA margins</t>
        </is>
      </c>
      <c r="H18" s="2" t="inlineStr">
        <is>
          <t>10-30% EBITDA margins</t>
        </is>
      </c>
      <c r="I18" s="9" t="inlineStr">
        <is>
          <t>&lt;10% EBITDA margins</t>
        </is>
      </c>
      <c r="J18" s="23" t="inlineStr">
        <is>
          <t>EBITDA margins 15-32%. Industry average 11%, top quartile 32%. Lean overhead (small teams, low capex). Retainer model provides operating leverage as client base grows.</t>
        </is>
      </c>
    </row>
    <row r="19" ht="12.75" customHeight="1">
      <c r="B19" s="19" t="inlineStr">
        <is>
          <t>- Average industry ROTC</t>
        </is>
      </c>
      <c r="C19" s="51" t="n"/>
      <c r="D19" s="57">
        <f t="array" ref="D19">_xlfn.SWITCH(E19,"+",3,"+/-",2,"-",1)</f>
        <v/>
      </c>
      <c r="E19" s="48" t="inlineStr">
        <is>
          <t>+</t>
        </is>
      </c>
      <c r="F19" s="21" t="n"/>
      <c r="G19" s="20" t="inlineStr">
        <is>
          <t>&gt;20% ROTC</t>
        </is>
      </c>
      <c r="H19" s="20" t="inlineStr">
        <is>
          <t>10-20% ROTC</t>
        </is>
      </c>
      <c r="I19" s="21" t="inlineStr">
        <is>
          <t>&lt;10% ROTC</t>
        </is>
      </c>
      <c r="J19" s="24" t="inlineStr">
        <is>
          <t>Very low capital requirements (no inventory, minimal equipment, no real estate needed). ROTC &gt;25% achievable. Capital-light model: revenue driven by relationships and expertise, not assets.</t>
        </is>
      </c>
    </row>
    <row r="20" ht="12.75" customHeight="1">
      <c r="B20" s="4" t="inlineStr">
        <is>
          <t>Mission Criticality</t>
        </is>
      </c>
      <c r="C20" s="49">
        <f>AVERAGE(D21:D23)</f>
        <v/>
      </c>
      <c r="D20" s="15" t="n">
        <v>0.15</v>
      </c>
      <c r="E20" s="8" t="n"/>
      <c r="F20" s="9" t="n"/>
      <c r="I20" s="9" t="n"/>
      <c r="J20" s="23" t="n"/>
    </row>
    <row r="21" ht="12.75" customHeight="1">
      <c r="B21" s="10" t="inlineStr">
        <is>
          <t>- Average customer feedback</t>
        </is>
      </c>
      <c r="C21" s="50" t="n"/>
      <c r="D21" s="56">
        <f t="array" ref="D21">_xlfn.SWITCH(E21,"+",3,"+/-",2,"-",1)</f>
        <v/>
      </c>
      <c r="E21" s="48" t="inlineStr">
        <is>
          <t>+</t>
        </is>
      </c>
      <c r="F21" s="9" t="n"/>
      <c r="G21" s="2" t="inlineStr">
        <is>
          <t>Positive customer feedback</t>
        </is>
      </c>
      <c r="H21" s="2" t="inlineStr">
        <is>
          <t>Neutral feedback</t>
        </is>
      </c>
      <c r="I21" s="9" t="inlineStr">
        <is>
          <t>Negative feedback</t>
        </is>
      </c>
      <c r="J21" s="23" t="inlineStr">
        <is>
          <t>UHNW clients are extremely demanding but deeply loyal when trust is established. Estate managers have access to security systems, financials, personal schedules. Relationship-driven, referral-based industry. Outstanding feedback when executed well.</t>
        </is>
      </c>
    </row>
    <row r="22" ht="12.75" customHeight="1">
      <c r="B22" s="10" t="inlineStr">
        <is>
          <t>- Clarity of value proposition</t>
        </is>
      </c>
      <c r="C22" s="50" t="n"/>
      <c r="D22" s="56">
        <f t="array" ref="D22">_xlfn.SWITCH(E22,"+",3,"+/-",2,"-",1)</f>
        <v/>
      </c>
      <c r="E22" s="48" t="inlineStr">
        <is>
          <t>+</t>
        </is>
      </c>
      <c r="F22" s="9" t="n"/>
      <c r="G22" s="2" t="inlineStr">
        <is>
          <t>Clear value proposition</t>
        </is>
      </c>
      <c r="H22" s="2" t="inlineStr">
        <is>
          <t>Weaker value proposition</t>
        </is>
      </c>
      <c r="I22" s="9" t="inlineStr">
        <is>
          <t>Unclear value proposition</t>
        </is>
      </c>
      <c r="J22" s="23" t="inlineStr">
        <is>
          <t>Crystal clear value prop: UHNW families own 3-4 homes averaging $500K-$3M+ annual operating budgets per property. Professional management protects asset value, coordinates vendors, manages seasonal transitions. Cost of failure (property damage, staff issues) is enormous.</t>
        </is>
      </c>
    </row>
    <row r="23" ht="12.75" customHeight="1">
      <c r="B23" s="19" t="inlineStr">
        <is>
          <t>- Customer switching costs</t>
        </is>
      </c>
      <c r="C23" s="51" t="n"/>
      <c r="D23" s="57">
        <f t="array" ref="D23">_xlfn.SWITCH(E23,"+",3,"+/-",2,"-",1)</f>
        <v/>
      </c>
      <c r="E23" s="48" t="inlineStr">
        <is>
          <t>+</t>
        </is>
      </c>
      <c r="F23" s="21" t="n"/>
      <c r="G23" s="20" t="inlineStr">
        <is>
          <t>High customers switch costs</t>
        </is>
      </c>
      <c r="H23" s="20" t="inlineStr">
        <is>
          <t>Can be replaced w/effort</t>
        </is>
      </c>
      <c r="I23" s="21" t="inlineStr">
        <is>
          <t>Easy to replace</t>
        </is>
      </c>
      <c r="J23" s="24" t="inlineStr">
        <is>
          <t>Very high switching costs. Estate managers access security systems, financial info, personal relationships, property layouts. 20% first-year turnover but once established, relationships last years. Deep institutional knowledge of each property. Trust is paramount for UHNW clients.</t>
        </is>
      </c>
    </row>
    <row r="24" ht="12.75" customHeight="1">
      <c r="B24" s="4" t="inlineStr">
        <is>
          <t>Exogeneous Risks</t>
        </is>
      </c>
      <c r="C24" s="49">
        <f>AVERAGE(D25:D29)</f>
        <v/>
      </c>
      <c r="D24" s="15" t="n">
        <v>0.1</v>
      </c>
      <c r="E24" s="8" t="n"/>
      <c r="F24" s="9" t="n"/>
      <c r="I24" s="9" t="n"/>
      <c r="J24" s="23" t="n"/>
    </row>
    <row r="25" ht="12.75" customHeight="1">
      <c r="B25" s="10" t="inlineStr">
        <is>
          <t>- Visibility on tech adoption and obsolescence</t>
        </is>
      </c>
      <c r="C25" s="50" t="n"/>
      <c r="D25" s="56">
        <f t="array" ref="D25">_xlfn.SWITCH(E25,"+",3,"+/-",2,"-",1)</f>
        <v/>
      </c>
      <c r="E25" s="48" t="inlineStr">
        <is>
          <t>+</t>
        </is>
      </c>
      <c r="F25" s="9" t="n"/>
      <c r="G25" s="2" t="inlineStr">
        <is>
          <t>High visibility</t>
        </is>
      </c>
      <c r="H25" s="2" t="inlineStr">
        <is>
          <t>Some visibility</t>
        </is>
      </c>
      <c r="I25" s="9" t="inlineStr">
        <is>
          <t>No visibility</t>
        </is>
      </c>
      <c r="J25" s="23" t="inlineStr">
        <is>
          <t>High visibility. PropTech and smart home tech are tools that enhance estate management, not replace it. AI automates 37% of general real estate ops but UHNW estate management requires human judgment, discretion, and relationship management. Tech is additive, not disruptive.</t>
        </is>
      </c>
    </row>
    <row r="26" ht="12.75" customHeight="1">
      <c r="B26" s="10" t="inlineStr">
        <is>
          <t>- Regulatory risk and frequency of changes</t>
        </is>
      </c>
      <c r="C26" s="50" t="n"/>
      <c r="D26" s="56">
        <f t="array" ref="D26">_xlfn.SWITCH(E26,"+",3,"+/-",2,"-",1)</f>
        <v/>
      </c>
      <c r="E26" s="48" t="inlineStr">
        <is>
          <t>+</t>
        </is>
      </c>
      <c r="F26" s="9" t="n"/>
      <c r="G26" s="2" t="inlineStr">
        <is>
          <t>Low risk and frequency</t>
        </is>
      </c>
      <c r="H26" s="2" t="inlineStr">
        <is>
          <t>Some risk and frequency</t>
        </is>
      </c>
      <c r="I26" s="9" t="inlineStr">
        <is>
          <t>High risk and frequency</t>
        </is>
      </c>
      <c r="J26" s="23" t="inlineStr">
        <is>
          <t>Low regulatory risk. No licensing requirements specific to estate management (unlike insurance or financial services). Some general contractor and property management licensing varies by state but is straightforward.</t>
        </is>
      </c>
    </row>
    <row r="27" ht="12.75" customHeight="1">
      <c r="B27" s="10" t="inlineStr">
        <is>
          <t>- Liability risks</t>
        </is>
      </c>
      <c r="C27" s="50" t="n"/>
      <c r="D27" s="56">
        <f t="array" ref="D27">_xlfn.SWITCH(E27,"+",3,"+/-",2,"-",1)</f>
        <v/>
      </c>
      <c r="E27" s="48" t="inlineStr">
        <is>
          <t>+/-</t>
        </is>
      </c>
      <c r="F27" s="9" t="n"/>
      <c r="G27" s="2" t="inlineStr">
        <is>
          <t>Low liability risks</t>
        </is>
      </c>
      <c r="H27" s="2" t="inlineStr">
        <is>
          <t>Some liability risks</t>
        </is>
      </c>
      <c r="I27" s="9" t="inlineStr">
        <is>
          <t>High liability risks</t>
        </is>
      </c>
      <c r="J27" s="23" t="inlineStr">
        <is>
          <t>Moderate liability. Managing $10M-$100M+ properties creates exposure. Vendor oversight, staff management, and security responsibilities carry risk. Mitigated by insurance (E&amp;O, general liability) and proper contracts.</t>
        </is>
      </c>
    </row>
    <row r="28" ht="12.75" customHeight="1">
      <c r="B28" s="10" t="inlineStr">
        <is>
          <t>- Cyclicality</t>
        </is>
      </c>
      <c r="C28" s="50" t="n"/>
      <c r="D28" s="56">
        <f t="array" ref="D28">_xlfn.SWITCH(E28,"+",3,"+/-",2,"-",1)</f>
        <v/>
      </c>
      <c r="E28" s="48" t="inlineStr">
        <is>
          <t>+</t>
        </is>
      </c>
      <c r="F28" s="9" t="n"/>
      <c r="G28" s="2" t="inlineStr">
        <is>
          <t>Low cyclicality</t>
        </is>
      </c>
      <c r="H28" s="2" t="inlineStr">
        <is>
          <t>Some cyclicality</t>
        </is>
      </c>
      <c r="I28" s="9" t="inlineStr">
        <is>
          <t>High cyclicality</t>
        </is>
      </c>
      <c r="J28" s="23" t="inlineStr">
        <is>
          <t>Low cyclicality. UHNW individuals maintain properties through economic cycles. Properties still need management regardless of market conditions. Revenue may compress slightly (fewer renovations) but base retainer revenue is highly stable.</t>
        </is>
      </c>
    </row>
    <row r="29" ht="12.75" customHeight="1">
      <c r="B29" s="19" t="inlineStr">
        <is>
          <t>- Exposure to trends</t>
        </is>
      </c>
      <c r="C29" s="51" t="n"/>
      <c r="D29" s="57">
        <f t="array" ref="D29">_xlfn.SWITCH(E29,"+",3,"+/-",2,"-",1)</f>
        <v/>
      </c>
      <c r="E29" s="48" t="inlineStr">
        <is>
          <t>+</t>
        </is>
      </c>
      <c r="F29" s="21" t="n"/>
      <c r="G29" s="20" t="inlineStr">
        <is>
          <t>High resiliency to trends</t>
        </is>
      </c>
      <c r="H29" s="20" t="inlineStr">
        <is>
          <t>Some resiliency to trends</t>
        </is>
      </c>
      <c r="I29" s="21" t="inlineStr">
        <is>
          <t>Changing trends</t>
        </is>
      </c>
      <c r="J29" s="24" t="inlineStr">
        <is>
          <t>High resiliency. Core services (maintenance, vendor management, seasonal transitions) are timeless. Only trend exposure is to luxury real estate purchasing patterns, but existing properties always need management.</t>
        </is>
      </c>
    </row>
    <row r="30" ht="12.75" customHeight="1">
      <c r="B30" s="4" t="inlineStr">
        <is>
          <t>Porter's Five Forces</t>
        </is>
      </c>
      <c r="C30" s="49">
        <f>AVERAGE(D31:D36)</f>
        <v/>
      </c>
      <c r="D30" s="15" t="n">
        <v>0.15</v>
      </c>
      <c r="E30" s="8" t="n"/>
      <c r="F30" s="9" t="n"/>
      <c r="I30" s="9" t="n"/>
      <c r="J30" s="23" t="n"/>
    </row>
    <row r="31" ht="12.75" customHeight="1">
      <c r="B31" s="10" t="inlineStr">
        <is>
          <t>- Prevalence of VC-backed startups</t>
        </is>
      </c>
      <c r="C31" s="50" t="n"/>
      <c r="D31" s="56">
        <f t="array" ref="D31">_xlfn.SWITCH(E31,"+",3,"+/-",2,"-",1)</f>
        <v/>
      </c>
      <c r="E31" s="48" t="inlineStr">
        <is>
          <t>+</t>
        </is>
      </c>
      <c r="F31" s="9" t="n"/>
      <c r="G31" s="2" t="inlineStr">
        <is>
          <t>Low</t>
        </is>
      </c>
      <c r="H31" s="2" t="inlineStr">
        <is>
          <t>Some</t>
        </is>
      </c>
      <c r="I31" s="9" t="inlineStr">
        <is>
          <t>High</t>
        </is>
      </c>
      <c r="J31" s="23" t="inlineStr">
        <is>
          <t>No VC-backed companies in UHNW estate management. Industry is relationship-driven and local. PropTech VCs focus on multifamily/commercial, not UHNW private estates. Trust barrier prevents tech-first disruption.</t>
        </is>
      </c>
    </row>
    <row r="32" ht="12.75" customHeight="1">
      <c r="B32" s="10" t="inlineStr">
        <is>
          <t>- Level of competition</t>
        </is>
      </c>
      <c r="C32" s="50" t="n"/>
      <c r="D32" s="56">
        <f t="array" ref="D32">_xlfn.SWITCH(E32,"+",3,"+/-",2,"-",1)</f>
        <v/>
      </c>
      <c r="E32" s="48" t="inlineStr">
        <is>
          <t>+/-</t>
        </is>
      </c>
      <c r="F32" s="9" t="n"/>
      <c r="G32" s="2" t="inlineStr">
        <is>
          <t>Low</t>
        </is>
      </c>
      <c r="H32" s="2" t="inlineStr">
        <is>
          <t>Some</t>
        </is>
      </c>
      <c r="I32" s="9" t="inlineStr">
        <is>
          <t>High</t>
        </is>
      </c>
      <c r="J32" s="23" t="inlineStr">
        <is>
          <t>Moderate local competition in key markets (Hamptons has 10+ firms). But demand exceeds supply in most luxury markets. Competition is primarily on reputation and relationships, not price. Market is growing faster than supply.</t>
        </is>
      </c>
    </row>
    <row r="33" ht="12.75" customHeight="1">
      <c r="B33" s="10" t="inlineStr">
        <is>
          <t>- State of new entrants</t>
        </is>
      </c>
      <c r="C33" s="50" t="n"/>
      <c r="D33" s="56">
        <f t="array" ref="D33">_xlfn.SWITCH(E33,"+",3,"+/-",2,"-",1)</f>
        <v/>
      </c>
      <c r="E33" s="48" t="inlineStr">
        <is>
          <t>+/-</t>
        </is>
      </c>
      <c r="F33" s="9" t="n"/>
      <c r="G33" s="2" t="inlineStr">
        <is>
          <t>Low</t>
        </is>
      </c>
      <c r="H33" s="2" t="inlineStr">
        <is>
          <t>Some</t>
        </is>
      </c>
      <c r="I33" s="9" t="inlineStr">
        <is>
          <t>High</t>
        </is>
      </c>
      <c r="J33" s="23" t="inlineStr">
        <is>
          <t>Moderate barriers to entry. Low capital requirements but high relationship/trust barriers. New entrants need established vendor networks, UHNW social access, and reputation. Takes years to build credibility in luxury markets.</t>
        </is>
      </c>
    </row>
    <row r="34" ht="12.75" customHeight="1">
      <c r="B34" s="10" t="inlineStr">
        <is>
          <t>- Level of supplier power</t>
        </is>
      </c>
      <c r="C34" s="50" t="n"/>
      <c r="D34" s="56" t="n"/>
      <c r="E34" s="48" t="inlineStr">
        <is>
          <t>+</t>
        </is>
      </c>
      <c r="F34" s="9" t="n"/>
      <c r="G34" s="2" t="inlineStr">
        <is>
          <t>Low</t>
        </is>
      </c>
      <c r="H34" s="2" t="inlineStr">
        <is>
          <t>Some</t>
        </is>
      </c>
      <c r="I34" s="9" t="inlineStr">
        <is>
          <t>High</t>
        </is>
      </c>
      <c r="J34" s="23" t="inlineStr">
        <is>
          <t>Low supplier power. Vendors (landscapers, contractors, cleaners, security) are abundant in luxury markets. Estate managers have leverage as aggregators of spend across multiple properties.</t>
        </is>
      </c>
    </row>
    <row r="35" ht="12.75" customHeight="1">
      <c r="B35" s="10" t="inlineStr">
        <is>
          <t>- Level of customer power</t>
        </is>
      </c>
      <c r="C35" s="50" t="n"/>
      <c r="D35" s="56">
        <f t="array" ref="D35">_xlfn.SWITCH(E35,"+",3,"+/-",2,"-",1)</f>
        <v/>
      </c>
      <c r="E35" s="48" t="inlineStr">
        <is>
          <t>+/-</t>
        </is>
      </c>
      <c r="F35" s="9" t="n"/>
      <c r="G35" s="2" t="inlineStr">
        <is>
          <t>Low</t>
        </is>
      </c>
      <c r="H35" s="2" t="inlineStr">
        <is>
          <t>Some</t>
        </is>
      </c>
      <c r="I35" s="9" t="inlineStr">
        <is>
          <t>High</t>
        </is>
      </c>
      <c r="J35" s="23" t="inlineStr">
        <is>
          <t>Moderate customer power. Individual UHNW clients are demanding and can negotiate, but high switching costs and relationship dependency reduce their effective power. Referral networks give good firms steady demand.</t>
        </is>
      </c>
    </row>
    <row r="36" ht="12.75" customHeight="1">
      <c r="B36" s="19" t="inlineStr">
        <is>
          <t>- Threat of substitutes</t>
        </is>
      </c>
      <c r="C36" s="51" t="n"/>
      <c r="D36" s="57">
        <f t="array" ref="D36">_xlfn.SWITCH(E36,"+",3,"+/-",2,"-",1)</f>
        <v/>
      </c>
      <c r="E36" s="48" t="inlineStr">
        <is>
          <t>+/-</t>
        </is>
      </c>
      <c r="F36" s="21" t="n"/>
      <c r="G36" s="20" t="inlineStr">
        <is>
          <t>Low</t>
        </is>
      </c>
      <c r="H36" s="20" t="inlineStr">
        <is>
          <t>Some</t>
        </is>
      </c>
      <c r="I36" s="21" t="inlineStr">
        <is>
          <t>High</t>
        </is>
      </c>
      <c r="J36" s="24" t="inlineStr">
        <is>
          <t>Moderate substitute threat. Primary alternative: hiring a direct estate manager as W-2 employee ($145K-$520K salary + benefits). But solo managers lack backup, vendor breadth, and multi-property coordination. Professional firms offer team depth and continuity.</t>
        </is>
      </c>
    </row>
    <row r="37" ht="12.75" customHeight="1">
      <c r="B37" s="4" t="inlineStr">
        <is>
          <t>Value Creation Opportunities</t>
        </is>
      </c>
      <c r="C37" s="49">
        <f>AVERAGE(D38:D39)</f>
        <v/>
      </c>
      <c r="D37" s="15" t="n">
        <v>0.1</v>
      </c>
      <c r="E37" s="8" t="n"/>
      <c r="F37" s="9" t="n"/>
      <c r="I37" s="9" t="n"/>
      <c r="J37" s="23" t="n"/>
    </row>
    <row r="38" ht="12.75" customHeight="1">
      <c r="B38" s="10" t="inlineStr">
        <is>
          <t>- General complexity of businesses</t>
        </is>
      </c>
      <c r="C38" s="50" t="n"/>
      <c r="D38" s="56">
        <f t="array" ref="D38">_xlfn.SWITCH(E38,"+",3,"+/-",2,"-",1)</f>
        <v/>
      </c>
      <c r="E38" s="48" t="inlineStr">
        <is>
          <t>+/-</t>
        </is>
      </c>
      <c r="F38" s="9" t="n"/>
      <c r="G38" s="2" t="inlineStr">
        <is>
          <t>Simple businesses</t>
        </is>
      </c>
      <c r="H38" s="2" t="inlineStr">
        <is>
          <t>Moderate complexity</t>
        </is>
      </c>
      <c r="I38" s="9" t="inlineStr">
        <is>
          <t>Complex businesses</t>
        </is>
      </c>
      <c r="J38" s="23" t="inlineStr">
        <is>
          <t>Moderate complexity. Operations involve vendor coordination, staff management, budgeting, seasonal transitions, and property maintenance across multiple luxury properties. Not technically complex but operationally demanding.</t>
        </is>
      </c>
    </row>
    <row r="39" ht="12.75" customHeight="1">
      <c r="B39" s="19" t="inlineStr">
        <is>
          <t>- Professionalization opportunities</t>
        </is>
      </c>
      <c r="C39" s="51" t="n"/>
      <c r="D39" s="57">
        <f t="array" ref="D39">_xlfn.SWITCH(E39,"+",3,"+/-",2,"-",1)</f>
        <v/>
      </c>
      <c r="E39" s="48" t="inlineStr">
        <is>
          <t>+</t>
        </is>
      </c>
      <c r="F39" s="21" t="n"/>
      <c r="G39" s="20" t="inlineStr">
        <is>
          <t>Several actionable levers</t>
        </is>
      </c>
      <c r="H39" s="20" t="inlineStr">
        <is>
          <t>Some actionable levers</t>
        </is>
      </c>
      <c r="I39" s="21" t="inlineStr">
        <is>
          <t>Technical skills required</t>
        </is>
      </c>
      <c r="J39" s="24" t="inlineStr">
        <is>
          <t>Strong professionalization opportunity. Most firms run on spreadsheets and personal relationships. Technology (property management software, vendor management platforms, client portals) can dramatically improve efficiency. CRM, SOPs, and standardized reporting are rare.</t>
        </is>
      </c>
    </row>
    <row r="40" ht="12.75" customHeight="1">
      <c r="B40" s="4" t="inlineStr">
        <is>
          <t>Impact and Externalities</t>
        </is>
      </c>
      <c r="C40" s="49">
        <f>AVERAGE(D41:D42)</f>
        <v/>
      </c>
      <c r="D40" s="15" t="n">
        <v>0.05</v>
      </c>
      <c r="E40" s="8" t="n"/>
      <c r="F40" s="9" t="n"/>
      <c r="I40" s="9" t="n"/>
      <c r="J40" s="23" t="n"/>
    </row>
    <row r="41" ht="12.75" customHeight="1">
      <c r="B41" s="10" t="inlineStr">
        <is>
          <t>- Net impact to society</t>
        </is>
      </c>
      <c r="C41" s="50" t="n"/>
      <c r="D41" s="56">
        <f t="array" ref="D41">_xlfn.SWITCH(E41,"+",3,"+/-",2,"-",1)</f>
        <v/>
      </c>
      <c r="E41" s="48" t="inlineStr">
        <is>
          <t>+/-</t>
        </is>
      </c>
      <c r="F41" s="9" t="n"/>
      <c r="G41" s="2" t="inlineStr">
        <is>
          <t>Net positive impact</t>
        </is>
      </c>
      <c r="H41" s="2" t="inlineStr">
        <is>
          <t>Neutral impact</t>
        </is>
      </c>
      <c r="I41" s="9" t="inlineStr">
        <is>
          <t>Net negative impact</t>
        </is>
      </c>
      <c r="J41" s="23" t="inlineStr">
        <is>
          <t>Neutral to mildly positive. Creates high-quality jobs in luxury markets (estate managers, coordinators). Supports local vendor ecosystems. Preserves property values in communities.</t>
        </is>
      </c>
    </row>
    <row r="42" ht="12.75" customHeight="1">
      <c r="B42" s="11" t="inlineStr">
        <is>
          <t>- Positive or negative externalities</t>
        </is>
      </c>
      <c r="C42" s="52" t="n"/>
      <c r="D42" s="56">
        <f t="array" ref="D42">_xlfn.SWITCH(E42,"+",3,"+/-",2,"-",1)</f>
        <v/>
      </c>
      <c r="E42" s="48" t="inlineStr">
        <is>
          <t>+/-</t>
        </is>
      </c>
      <c r="F42" s="13" t="n"/>
      <c r="G42" s="12" t="inlineStr">
        <is>
          <t>Positive externalities</t>
        </is>
      </c>
      <c r="H42" s="12" t="inlineStr">
        <is>
          <t>Neutral externalities</t>
        </is>
      </c>
      <c r="I42" s="13" t="inlineStr">
        <is>
          <t>Negative externalities</t>
        </is>
      </c>
      <c r="J42" s="25" t="inlineStr">
        <is>
          <t>Neutral externalities. Supports local employment and vendor networks. No significant negative externalities. Properties are maintained and communities benefit from well-kept estates.</t>
        </is>
      </c>
    </row>
    <row r="43">
      <c r="B43" s="14" t="inlineStr">
        <is>
          <t>Total Score</t>
        </is>
      </c>
      <c r="C43" s="49">
        <f>SUMPRODUCT(C8:C42,D8:D42)</f>
        <v/>
      </c>
      <c r="D43" s="18" t="inlineStr">
        <is>
          <t>Strong scores across growth, mission criticality, and risks. Key strength: UHNW population growth + low professional penetration = large greenfield opportunity. Kay's luxury/UHNW background is a powerful differentiator.</t>
        </is>
      </c>
      <c r="E43" s="18" t="n"/>
      <c r="F43" s="16" t="n"/>
      <c r="G43" s="16" t="n"/>
      <c r="H43" s="16" t="n"/>
      <c r="I43" s="16" t="n"/>
      <c r="J43" s="17" t="n"/>
    </row>
    <row r="44">
      <c r="D44" s="3" t="n"/>
    </row>
    <row r="45" ht="15" customHeight="1">
      <c r="B45" s="35" t="inlineStr">
        <is>
          <t>WW - Company Scorecard</t>
        </is>
      </c>
      <c r="C45" s="36" t="inlineStr">
        <is>
          <t>Score</t>
        </is>
      </c>
      <c r="D45" s="37" t="inlineStr">
        <is>
          <t>Weight</t>
        </is>
      </c>
      <c r="E45" s="38" t="inlineStr">
        <is>
          <t>Evaluation</t>
        </is>
      </c>
      <c r="F45" s="39" t="n"/>
      <c r="G45" s="58" t="inlineStr">
        <is>
          <t>Evaluation</t>
        </is>
      </c>
      <c r="H45" s="59" t="n"/>
      <c r="I45" s="60" t="n"/>
      <c r="J45" s="40" t="inlineStr">
        <is>
          <t>General Commentary / Supporting Data</t>
        </is>
      </c>
    </row>
    <row r="46">
      <c r="B46" s="41" t="n"/>
      <c r="C46" s="42" t="inlineStr">
        <is>
          <t>(1-10)</t>
        </is>
      </c>
      <c r="D46" s="43" t="inlineStr">
        <is>
          <t>(%)</t>
        </is>
      </c>
      <c r="E46" s="44" t="inlineStr">
        <is>
          <t>+/-</t>
        </is>
      </c>
      <c r="F46" s="45" t="n"/>
      <c r="G46" s="44" t="inlineStr">
        <is>
          <t>+</t>
        </is>
      </c>
      <c r="H46" s="44" t="inlineStr">
        <is>
          <t>+/-</t>
        </is>
      </c>
      <c r="I46" s="45" t="inlineStr">
        <is>
          <t>-</t>
        </is>
      </c>
      <c r="J46" s="46" t="n"/>
    </row>
    <row r="47">
      <c r="B47" s="26" t="inlineStr">
        <is>
          <t>Clear Value Proposition &amp; Mission Criticality</t>
        </is>
      </c>
      <c r="C47" s="48" t="n">
        <v>5</v>
      </c>
      <c r="D47" s="27" t="n">
        <v>0.15</v>
      </c>
      <c r="E47" s="48" t="inlineStr">
        <is>
          <t>+/-</t>
        </is>
      </c>
      <c r="F47" s="9" t="n"/>
      <c r="G47" s="2" t="inlineStr">
        <is>
          <t>Clear value proposition; mission critical for primary ICP (IDN, Hospitals, etc)</t>
        </is>
      </c>
      <c r="H47" s="2" t="inlineStr">
        <is>
          <t>Partial clarity; benefits visible but ROI not always evident across segments</t>
        </is>
      </c>
      <c r="I47" s="9" t="inlineStr">
        <is>
          <t>Unclear value or non-mission-critical; easily delayed or cut from budget</t>
        </is>
      </c>
      <c r="J47" s="23" t="inlineStr">
        <is>
          <t>Strong ROI, though not 100% mission critical</t>
        </is>
      </c>
    </row>
    <row r="48">
      <c r="B48" s="26" t="inlineStr">
        <is>
          <t>Market is Hospitable (&amp; Sizeable) to Grow</t>
        </is>
      </c>
      <c r="C48" s="48" t="n">
        <v>5</v>
      </c>
      <c r="D48" s="27" t="n">
        <v>0.15</v>
      </c>
      <c r="E48" s="48" t="inlineStr">
        <is>
          <t>+</t>
        </is>
      </c>
      <c r="F48" s="9" t="n"/>
      <c r="G48" s="2" t="inlineStr">
        <is>
          <t>35% penetration; strong tailwinds</t>
        </is>
      </c>
      <c r="H48" s="2" t="inlineStr">
        <is>
          <t>Growing strong in smaller segments</t>
        </is>
      </c>
      <c r="I48" s="9" t="inlineStr">
        <is>
          <t>Slower growth in larger/target segments</t>
        </is>
      </c>
      <c r="J48" s="23" t="inlineStr">
        <is>
          <t>Underpenetrated market growing &gt;10%</t>
        </is>
      </c>
    </row>
    <row r="49">
      <c r="B49" s="26" t="inlineStr">
        <is>
          <t>Company has a 'Right to Win' at Attractive ICP</t>
        </is>
      </c>
      <c r="C49" s="48" t="n">
        <v>5</v>
      </c>
      <c r="D49" s="27" t="n">
        <v>0.1</v>
      </c>
      <c r="E49" s="48" t="inlineStr">
        <is>
          <t>+</t>
        </is>
      </c>
      <c r="F49" s="9" t="n"/>
      <c r="G49" s="2" t="inlineStr">
        <is>
          <t>Wins frequently; strong fit</t>
        </is>
      </c>
      <c r="H49" s="2" t="inlineStr">
        <is>
          <t>Needs brand elevation or credibility</t>
        </is>
      </c>
      <c r="I49" s="9" t="inlineStr">
        <is>
          <t>Poor ICP fit</t>
        </is>
      </c>
      <c r="J49" s="23" t="inlineStr">
        <is>
          <t>Win/loss ratios of 1/3 or more</t>
        </is>
      </c>
    </row>
    <row r="50">
      <c r="B50" s="26" t="inlineStr">
        <is>
          <t>Company Retains Its Customers</t>
        </is>
      </c>
      <c r="C50" s="48" t="n">
        <v>5</v>
      </c>
      <c r="D50" s="27" t="n">
        <v>0.1</v>
      </c>
      <c r="E50" s="48" t="inlineStr">
        <is>
          <t>+</t>
        </is>
      </c>
      <c r="F50" s="9" t="n"/>
      <c r="G50" s="2" t="inlineStr">
        <is>
          <t>100% gross / 110% net</t>
        </is>
      </c>
      <c r="H50" s="2" t="inlineStr">
        <is>
          <t>95% gross (industry)</t>
        </is>
      </c>
      <c r="I50" s="9" t="inlineStr">
        <is>
          <t>Usage decreases through time or Churn risk</t>
        </is>
      </c>
      <c r="J50" s="23" t="inlineStr">
        <is>
          <t>100% gross retention, 95% industry ret.</t>
        </is>
      </c>
    </row>
    <row r="51">
      <c r="B51" s="26" t="inlineStr">
        <is>
          <t>Revenue Concentration</t>
        </is>
      </c>
      <c r="C51" s="48" t="n">
        <v>5</v>
      </c>
      <c r="D51" s="27" t="n">
        <v>0.1</v>
      </c>
      <c r="E51" s="48" t="inlineStr">
        <is>
          <t>+</t>
        </is>
      </c>
      <c r="F51" s="9" t="n"/>
      <c r="G51" s="2" t="inlineStr">
        <is>
          <t xml:space="preserve">Low customer concentration; diversified	</t>
        </is>
      </c>
      <c r="H51" s="2" t="inlineStr">
        <is>
          <t xml:space="preserve">1–2 customers = 20–30%	</t>
        </is>
      </c>
      <c r="I51" s="9" t="inlineStr">
        <is>
          <t>High concentration &gt;40%</t>
        </is>
      </c>
      <c r="J51" s="23" t="n"/>
    </row>
    <row r="52" ht="15" customHeight="1">
      <c r="B52" s="53" t="inlineStr">
        <is>
          <t>Revenue Predictability (transformation opportunity for value creation)</t>
        </is>
      </c>
      <c r="C52" s="48" t="n">
        <v>5</v>
      </c>
      <c r="D52" s="27" t="n">
        <v>0.1</v>
      </c>
      <c r="E52" s="48" t="n"/>
      <c r="F52" s="9" t="n"/>
      <c r="G52" s="2" t="inlineStr">
        <is>
          <t>Partially recurring today, with clear opportunity to increase or convert to a fully recurring model</t>
        </is>
      </c>
      <c r="H52" s="2" t="inlineStr">
        <is>
          <t>Revenue is already largely recurring (e.g., 80–90% contracted or usage-based), limiting transformation upside</t>
        </is>
      </c>
      <c r="I52" s="9" t="inlineStr">
        <is>
          <t>Fully non-recurring or lumpy project-based revenue; unclear or no path to predictability</t>
        </is>
      </c>
      <c r="J52" s="23" t="n"/>
    </row>
    <row r="53">
      <c r="B53" s="26" t="inlineStr">
        <is>
          <t>Unit Economics are Attractive; Sizeable Co.</t>
        </is>
      </c>
      <c r="C53" s="48" t="n">
        <v>5</v>
      </c>
      <c r="D53" s="27" t="n">
        <v>0.1</v>
      </c>
      <c r="E53" s="48" t="inlineStr">
        <is>
          <t>+/-</t>
        </is>
      </c>
      <c r="F53" s="9" t="n"/>
      <c r="G53" s="2" t="inlineStr">
        <is>
          <t xml:space="preserve">High gross margins; &gt;$5M revenue	</t>
        </is>
      </c>
      <c r="H53" s="2" t="inlineStr">
        <is>
          <t xml:space="preserve">Moderate EBITDA / growing margins	</t>
        </is>
      </c>
      <c r="I53" s="9" t="inlineStr">
        <is>
          <t>Small business; low margins</t>
        </is>
      </c>
      <c r="J53" s="23" t="inlineStr">
        <is>
          <t>~80%/~55% recurring/non-rec gross margin</t>
        </is>
      </c>
    </row>
    <row r="54">
      <c r="B54" s="26" t="inlineStr">
        <is>
          <t>Technology is Sound; Product is Scalable</t>
        </is>
      </c>
      <c r="C54" s="48" t="n">
        <v>5</v>
      </c>
      <c r="D54" s="27" t="n">
        <v>0.05</v>
      </c>
      <c r="E54" s="48" t="inlineStr">
        <is>
          <t>+</t>
        </is>
      </c>
      <c r="F54" s="9" t="n"/>
      <c r="G54" s="2" t="inlineStr">
        <is>
          <t xml:space="preserve">Cloud-native, scalable	</t>
        </is>
      </c>
      <c r="H54" s="2" t="inlineStr">
        <is>
          <t xml:space="preserve">Needs modernization	</t>
        </is>
      </c>
      <c r="I54" s="9" t="inlineStr">
        <is>
          <t>Legacy / unscalable</t>
        </is>
      </c>
      <c r="J54" s="23" t="inlineStr">
        <is>
          <t>Multi-tenant modern SaaS hosted in Azure</t>
        </is>
      </c>
    </row>
    <row r="55">
      <c r="B55" s="26" t="inlineStr">
        <is>
          <t>Valuation</t>
        </is>
      </c>
      <c r="C55" s="48" t="n">
        <v>5</v>
      </c>
      <c r="D55" s="27" t="n">
        <v>0.05</v>
      </c>
      <c r="E55" s="48" t="inlineStr">
        <is>
          <t>+/-</t>
        </is>
      </c>
      <c r="F55" s="9" t="n"/>
      <c r="G55" s="2" t="inlineStr">
        <is>
          <t>Low absolute price (~$10M) or attractive multiple</t>
        </is>
      </c>
      <c r="H55" s="2" t="inlineStr">
        <is>
          <t>Reasonable (~3.5x Revenue)</t>
        </is>
      </c>
      <c r="I55" s="9" t="inlineStr">
        <is>
          <t>High Multiple (~6x ARR) / premium paid</t>
        </is>
      </c>
      <c r="J55" s="23" t="inlineStr">
        <is>
          <t>Paying relatively full price</t>
        </is>
      </c>
    </row>
    <row r="56">
      <c r="B56" s="26" t="inlineStr">
        <is>
          <t>Strong team, seller willingness, &amp;  smooth transition path</t>
        </is>
      </c>
      <c r="C56" s="48" t="n">
        <v>5</v>
      </c>
      <c r="D56" s="27" t="n">
        <v>0.1</v>
      </c>
      <c r="E56" s="48" t="inlineStr">
        <is>
          <t>+/-</t>
        </is>
      </c>
      <c r="G56" s="2" t="inlineStr">
        <is>
          <t xml:space="preserve">Seller ready; strong team	</t>
        </is>
      </c>
      <c r="H56" s="2" t="inlineStr">
        <is>
          <t xml:space="preserve">Needs transition or talent adds	</t>
        </is>
      </c>
      <c r="I56" s="2" t="inlineStr">
        <is>
          <t>Seller unwilling or team weak</t>
        </is>
      </c>
      <c r="J56" s="9" t="n"/>
    </row>
    <row r="57">
      <c r="B57" s="14" t="inlineStr">
        <is>
          <t>Total Score</t>
        </is>
      </c>
      <c r="C57" s="47">
        <f>SUMPRODUCT(C47:C55,D47:D55)</f>
        <v/>
      </c>
      <c r="D57" s="18" t="inlineStr">
        <is>
          <t>Commentary: I would personally give WW a 8 to 8+</t>
        </is>
      </c>
      <c r="E57" s="18" t="n"/>
      <c r="F57" s="16" t="n"/>
      <c r="G57" s="16" t="n"/>
      <c r="H57" s="16" t="n"/>
      <c r="I57" s="16" t="n"/>
      <c r="J57" s="17" t="n"/>
    </row>
    <row r="58">
      <c r="D58" s="3">
        <f>SUM(D47:D56)</f>
        <v/>
      </c>
    </row>
    <row r="59" ht="15" customHeight="1">
      <c r="B59" s="35" t="inlineStr">
        <is>
          <t>WW - Company Scorecard</t>
        </is>
      </c>
      <c r="C59" s="36" t="inlineStr">
        <is>
          <t>Score</t>
        </is>
      </c>
      <c r="D59" s="37" t="inlineStr">
        <is>
          <t>Weight</t>
        </is>
      </c>
      <c r="E59" s="38" t="inlineStr">
        <is>
          <t>Evaluation</t>
        </is>
      </c>
      <c r="F59" s="39" t="n"/>
      <c r="G59" s="58" t="inlineStr">
        <is>
          <t>Evaluation</t>
        </is>
      </c>
      <c r="H59" s="59" t="n"/>
      <c r="I59" s="60" t="n"/>
      <c r="J59" s="40" t="inlineStr">
        <is>
          <t>General Commentary / Supporting Data</t>
        </is>
      </c>
    </row>
    <row r="60">
      <c r="B60" s="41" t="n"/>
      <c r="C60" s="42" t="inlineStr">
        <is>
          <t>(1-10)</t>
        </is>
      </c>
      <c r="D60" s="43" t="inlineStr">
        <is>
          <t>(%)</t>
        </is>
      </c>
      <c r="E60" s="44" t="inlineStr">
        <is>
          <t>+/-</t>
        </is>
      </c>
      <c r="F60" s="45" t="n"/>
      <c r="G60" s="44" t="inlineStr">
        <is>
          <t>+</t>
        </is>
      </c>
      <c r="H60" s="44" t="inlineStr">
        <is>
          <t>+/-</t>
        </is>
      </c>
      <c r="I60" s="45" t="inlineStr">
        <is>
          <t>-</t>
        </is>
      </c>
      <c r="J60" s="46" t="n"/>
    </row>
    <row r="61">
      <c r="B61" s="26" t="inlineStr">
        <is>
          <t>Clear Value Proposition &amp; Mission Criticality</t>
        </is>
      </c>
      <c r="C61" s="48" t="n">
        <v>5</v>
      </c>
      <c r="D61" s="27" t="n">
        <v>0.15</v>
      </c>
      <c r="E61" s="48" t="inlineStr">
        <is>
          <t>+/-</t>
        </is>
      </c>
      <c r="F61" s="9" t="n"/>
      <c r="G61" s="2" t="inlineStr">
        <is>
          <t>Clear value proposition; mission critical for primary ICP (IDN, Hospitals, etc)</t>
        </is>
      </c>
      <c r="H61" s="2" t="inlineStr">
        <is>
          <t>Partial clarity; benefits visible but ROI not always evident across segments</t>
        </is>
      </c>
      <c r="I61" s="9" t="inlineStr">
        <is>
          <t>Unclear value or non-mission-critical; easily delayed or cut from budget</t>
        </is>
      </c>
      <c r="J61" s="23" t="inlineStr">
        <is>
          <t>Strong ROI, though not 100% mission critical</t>
        </is>
      </c>
    </row>
    <row r="62">
      <c r="B62" s="26" t="inlineStr">
        <is>
          <t>Market is Hospitable (&amp; Sizeable) to Grow</t>
        </is>
      </c>
      <c r="C62" s="48" t="n">
        <v>5</v>
      </c>
      <c r="D62" s="27" t="n">
        <v>0.15</v>
      </c>
      <c r="E62" s="48" t="inlineStr">
        <is>
          <t>+</t>
        </is>
      </c>
      <c r="F62" s="9" t="n"/>
      <c r="G62" s="2" t="inlineStr">
        <is>
          <t>35% penetration; strong tailwinds</t>
        </is>
      </c>
      <c r="H62" s="2" t="inlineStr">
        <is>
          <t>Growing strong in smaller segments</t>
        </is>
      </c>
      <c r="I62" s="9" t="inlineStr">
        <is>
          <t>Slower growth in larger/target segments</t>
        </is>
      </c>
      <c r="J62" s="23" t="inlineStr">
        <is>
          <t>Underpenetrated market growing &gt;10%</t>
        </is>
      </c>
    </row>
    <row r="63">
      <c r="B63" s="26" t="inlineStr">
        <is>
          <t>Company has a 'Right to Win' at Attractive ICP</t>
        </is>
      </c>
      <c r="C63" s="48" t="n">
        <v>5</v>
      </c>
      <c r="D63" s="27" t="n">
        <v>0.1</v>
      </c>
      <c r="E63" s="48" t="inlineStr">
        <is>
          <t>+</t>
        </is>
      </c>
      <c r="F63" s="9" t="n"/>
      <c r="G63" s="2" t="inlineStr">
        <is>
          <t>Wins frequently; strong fit</t>
        </is>
      </c>
      <c r="H63" s="2" t="inlineStr">
        <is>
          <t>Needs brand elevation or credibility</t>
        </is>
      </c>
      <c r="I63" s="9" t="inlineStr">
        <is>
          <t>Poor ICP fit</t>
        </is>
      </c>
      <c r="J63" s="23" t="inlineStr">
        <is>
          <t>Win/loss ratios of 1/3 or more</t>
        </is>
      </c>
    </row>
    <row r="64">
      <c r="B64" s="26" t="inlineStr">
        <is>
          <t>Company Retains Its Customers</t>
        </is>
      </c>
      <c r="C64" s="48" t="n">
        <v>5</v>
      </c>
      <c r="D64" s="27" t="n">
        <v>0.1</v>
      </c>
      <c r="E64" s="48" t="inlineStr">
        <is>
          <t>+</t>
        </is>
      </c>
      <c r="F64" s="9" t="n"/>
      <c r="G64" s="2" t="inlineStr">
        <is>
          <t>100% gross / 110% net</t>
        </is>
      </c>
      <c r="H64" s="2" t="inlineStr">
        <is>
          <t>95% gross (industry)</t>
        </is>
      </c>
      <c r="I64" s="9" t="inlineStr">
        <is>
          <t>Usage decreases through time or Churn risk</t>
        </is>
      </c>
      <c r="J64" s="23" t="inlineStr">
        <is>
          <t>100% gross retention, 95% industry ret.</t>
        </is>
      </c>
    </row>
    <row r="65">
      <c r="B65" s="26" t="inlineStr">
        <is>
          <t>Revenue Concentration</t>
        </is>
      </c>
      <c r="C65" s="48" t="n">
        <v>5</v>
      </c>
      <c r="D65" s="27" t="n">
        <v>0.1</v>
      </c>
      <c r="E65" s="48" t="inlineStr">
        <is>
          <t>+</t>
        </is>
      </c>
      <c r="F65" s="9" t="n"/>
      <c r="G65" s="2" t="inlineStr">
        <is>
          <t xml:space="preserve">Low customer concentration; diversified	</t>
        </is>
      </c>
      <c r="H65" s="2" t="inlineStr">
        <is>
          <t xml:space="preserve">1–2 customers = 20–30%	</t>
        </is>
      </c>
      <c r="I65" s="9" t="inlineStr">
        <is>
          <t>High concentration &gt;40%</t>
        </is>
      </c>
      <c r="J65" s="23" t="n"/>
    </row>
    <row r="66" ht="15" customHeight="1">
      <c r="B66" s="53" t="inlineStr">
        <is>
          <t>Revenue Predictability (transformation opportunity for value creation)</t>
        </is>
      </c>
      <c r="C66" s="48" t="n">
        <v>5</v>
      </c>
      <c r="D66" s="27" t="n">
        <v>0.1</v>
      </c>
      <c r="E66" s="48" t="n"/>
      <c r="F66" s="9" t="n"/>
      <c r="G66" s="2" t="inlineStr">
        <is>
          <t>Partially recurring today, with clear opportunity to increase or convert to a fully recurring model</t>
        </is>
      </c>
      <c r="H66" s="2" t="inlineStr">
        <is>
          <t>Revenue is already largely recurring (e.g., 80–90% contracted or usage-based), limiting transformation upside</t>
        </is>
      </c>
      <c r="I66" s="9" t="inlineStr">
        <is>
          <t>Fully non-recurring or lumpy project-based revenue; unclear or no path to predictability</t>
        </is>
      </c>
      <c r="J66" s="23" t="n"/>
    </row>
    <row r="67">
      <c r="B67" s="26" t="inlineStr">
        <is>
          <t>Unit Economics are Attractive; Sizeable Co.</t>
        </is>
      </c>
      <c r="C67" s="48" t="n">
        <v>5</v>
      </c>
      <c r="D67" s="27" t="n">
        <v>0.1</v>
      </c>
      <c r="E67" s="48" t="inlineStr">
        <is>
          <t>+/-</t>
        </is>
      </c>
      <c r="F67" s="9" t="n"/>
      <c r="G67" s="2" t="inlineStr">
        <is>
          <t xml:space="preserve">High gross margins; &gt;$5M revenue	</t>
        </is>
      </c>
      <c r="H67" s="2" t="inlineStr">
        <is>
          <t xml:space="preserve">Moderate EBITDA / growing margins	</t>
        </is>
      </c>
      <c r="I67" s="9" t="inlineStr">
        <is>
          <t>Small business; low margins</t>
        </is>
      </c>
      <c r="J67" s="23" t="inlineStr">
        <is>
          <t>~80%/~55% recurring/non-rec gross margin</t>
        </is>
      </c>
    </row>
    <row r="68">
      <c r="B68" s="26" t="inlineStr">
        <is>
          <t>Technology is Sound; Product is Scalable</t>
        </is>
      </c>
      <c r="C68" s="48" t="n">
        <v>5</v>
      </c>
      <c r="D68" s="27" t="n">
        <v>0.05</v>
      </c>
      <c r="E68" s="48" t="inlineStr">
        <is>
          <t>+</t>
        </is>
      </c>
      <c r="F68" s="9" t="n"/>
      <c r="G68" s="2" t="inlineStr">
        <is>
          <t xml:space="preserve">Cloud-native, scalable	</t>
        </is>
      </c>
      <c r="H68" s="2" t="inlineStr">
        <is>
          <t xml:space="preserve">Needs modernization	</t>
        </is>
      </c>
      <c r="I68" s="9" t="inlineStr">
        <is>
          <t>Legacy / unscalable</t>
        </is>
      </c>
      <c r="J68" s="23" t="inlineStr">
        <is>
          <t>Multi-tenant modern SaaS hosted in Azure</t>
        </is>
      </c>
    </row>
    <row r="69">
      <c r="B69" s="26" t="inlineStr">
        <is>
          <t>Valuation</t>
        </is>
      </c>
      <c r="C69" s="48" t="n">
        <v>5</v>
      </c>
      <c r="D69" s="27" t="n">
        <v>0.05</v>
      </c>
      <c r="E69" s="48" t="inlineStr">
        <is>
          <t>+/-</t>
        </is>
      </c>
      <c r="F69" s="9" t="n"/>
      <c r="G69" s="2" t="inlineStr">
        <is>
          <t>Low absolute price (~$10M) or attractive multiple</t>
        </is>
      </c>
      <c r="H69" s="2" t="inlineStr">
        <is>
          <t>Reasonable (~3.5x Revenue)</t>
        </is>
      </c>
      <c r="I69" s="9" t="inlineStr">
        <is>
          <t>High Multiple (~6x ARR) / premium paid</t>
        </is>
      </c>
      <c r="J69" s="23" t="inlineStr">
        <is>
          <t>Paying relatively full price</t>
        </is>
      </c>
    </row>
    <row r="70">
      <c r="B70" s="26" t="inlineStr">
        <is>
          <t>Strong team, seller willingness, &amp;  smooth transition path</t>
        </is>
      </c>
      <c r="C70" s="48" t="n">
        <v>5</v>
      </c>
      <c r="D70" s="27" t="n">
        <v>0.1</v>
      </c>
      <c r="E70" s="48" t="inlineStr">
        <is>
          <t>+/-</t>
        </is>
      </c>
      <c r="G70" s="2" t="inlineStr">
        <is>
          <t xml:space="preserve">Seller ready; strong team	</t>
        </is>
      </c>
      <c r="H70" s="2" t="inlineStr">
        <is>
          <t xml:space="preserve">Needs transition or talent adds	</t>
        </is>
      </c>
      <c r="I70" s="2" t="inlineStr">
        <is>
          <t>Seller unwilling or team weak</t>
        </is>
      </c>
      <c r="J70" s="9" t="n"/>
    </row>
    <row r="71">
      <c r="B71" s="14" t="inlineStr">
        <is>
          <t>Total Score</t>
        </is>
      </c>
      <c r="C71" s="47">
        <f>SUMPRODUCT(C61:C69,D61:D69)</f>
        <v/>
      </c>
      <c r="D71" s="18" t="inlineStr">
        <is>
          <t>Commentary: I would personally give WW a 8 to 8+</t>
        </is>
      </c>
      <c r="E71" s="18" t="n"/>
      <c r="F71" s="16" t="n"/>
      <c r="G71" s="16" t="n"/>
      <c r="H71" s="16" t="n"/>
      <c r="I71" s="16" t="n"/>
      <c r="J71" s="17" t="n"/>
    </row>
    <row r="72">
      <c r="D72" s="3">
        <f>SUM(D61:D70)</f>
        <v/>
      </c>
    </row>
    <row r="73" ht="15" customHeight="1">
      <c r="B73" s="35" t="inlineStr">
        <is>
          <t>WW - Company Scorecard</t>
        </is>
      </c>
      <c r="C73" s="36" t="inlineStr">
        <is>
          <t>Score</t>
        </is>
      </c>
      <c r="D73" s="37" t="inlineStr">
        <is>
          <t>Weight</t>
        </is>
      </c>
      <c r="E73" s="38" t="inlineStr">
        <is>
          <t>Evaluation</t>
        </is>
      </c>
      <c r="F73" s="39" t="n"/>
      <c r="G73" s="58" t="inlineStr">
        <is>
          <t>Evaluation</t>
        </is>
      </c>
      <c r="H73" s="59" t="n"/>
      <c r="I73" s="60" t="n"/>
      <c r="J73" s="40" t="inlineStr">
        <is>
          <t>General Commentary / Supporting Data</t>
        </is>
      </c>
    </row>
    <row r="74">
      <c r="B74" s="41" t="n"/>
      <c r="C74" s="42" t="inlineStr">
        <is>
          <t>(1-10)</t>
        </is>
      </c>
      <c r="D74" s="43" t="inlineStr">
        <is>
          <t>(%)</t>
        </is>
      </c>
      <c r="E74" s="44" t="inlineStr">
        <is>
          <t>+/-</t>
        </is>
      </c>
      <c r="F74" s="45" t="n"/>
      <c r="G74" s="44" t="inlineStr">
        <is>
          <t>+</t>
        </is>
      </c>
      <c r="H74" s="44" t="inlineStr">
        <is>
          <t>+/-</t>
        </is>
      </c>
      <c r="I74" s="45" t="inlineStr">
        <is>
          <t>-</t>
        </is>
      </c>
      <c r="J74" s="46" t="n"/>
    </row>
    <row r="75">
      <c r="B75" s="26" t="inlineStr">
        <is>
          <t>Clear Value Proposition &amp; Mission Criticality</t>
        </is>
      </c>
      <c r="C75" s="48" t="n">
        <v>5</v>
      </c>
      <c r="D75" s="27" t="n">
        <v>0.15</v>
      </c>
      <c r="E75" s="48" t="inlineStr">
        <is>
          <t>+/-</t>
        </is>
      </c>
      <c r="F75" s="9" t="n"/>
      <c r="G75" s="2" t="inlineStr">
        <is>
          <t>Clear value proposition; mission critical for primary ICP (IDN, Hospitals, etc)</t>
        </is>
      </c>
      <c r="H75" s="2" t="inlineStr">
        <is>
          <t>Partial clarity; benefits visible but ROI not always evident across segments</t>
        </is>
      </c>
      <c r="I75" s="9" t="inlineStr">
        <is>
          <t>Unclear value or non-mission-critical; easily delayed or cut from budget</t>
        </is>
      </c>
      <c r="J75" s="23" t="inlineStr">
        <is>
          <t>Strong ROI, though not 100% mission critical</t>
        </is>
      </c>
    </row>
    <row r="76">
      <c r="B76" s="26" t="inlineStr">
        <is>
          <t>Market is Hospitable (&amp; Sizeable) to Grow</t>
        </is>
      </c>
      <c r="C76" s="48" t="n">
        <v>5</v>
      </c>
      <c r="D76" s="27" t="n">
        <v>0.15</v>
      </c>
      <c r="E76" s="48" t="inlineStr">
        <is>
          <t>+</t>
        </is>
      </c>
      <c r="F76" s="9" t="n"/>
      <c r="G76" s="2" t="inlineStr">
        <is>
          <t>35% penetration; strong tailwinds</t>
        </is>
      </c>
      <c r="H76" s="2" t="inlineStr">
        <is>
          <t>Growing strong in smaller segments</t>
        </is>
      </c>
      <c r="I76" s="9" t="inlineStr">
        <is>
          <t>Slower growth in larger/target segments</t>
        </is>
      </c>
      <c r="J76" s="23" t="inlineStr">
        <is>
          <t>Underpenetrated market growing &gt;10%</t>
        </is>
      </c>
    </row>
    <row r="77">
      <c r="B77" s="26" t="inlineStr">
        <is>
          <t>Company has a 'Right to Win' at Attractive ICP</t>
        </is>
      </c>
      <c r="C77" s="48" t="n">
        <v>5</v>
      </c>
      <c r="D77" s="27" t="n">
        <v>0.1</v>
      </c>
      <c r="E77" s="48" t="inlineStr">
        <is>
          <t>+</t>
        </is>
      </c>
      <c r="F77" s="9" t="n"/>
      <c r="G77" s="2" t="inlineStr">
        <is>
          <t>Wins frequently; strong fit</t>
        </is>
      </c>
      <c r="H77" s="2" t="inlineStr">
        <is>
          <t>Needs brand elevation or credibility</t>
        </is>
      </c>
      <c r="I77" s="9" t="inlineStr">
        <is>
          <t>Poor ICP fit</t>
        </is>
      </c>
      <c r="J77" s="23" t="inlineStr">
        <is>
          <t>Win/loss ratios of 1/3 or more</t>
        </is>
      </c>
    </row>
    <row r="78">
      <c r="B78" s="26" t="inlineStr">
        <is>
          <t>Company Retains Its Customers</t>
        </is>
      </c>
      <c r="C78" s="48" t="n">
        <v>5</v>
      </c>
      <c r="D78" s="27" t="n">
        <v>0.1</v>
      </c>
      <c r="E78" s="48" t="inlineStr">
        <is>
          <t>+</t>
        </is>
      </c>
      <c r="F78" s="9" t="n"/>
      <c r="G78" s="2" t="inlineStr">
        <is>
          <t>100% gross / 110% net</t>
        </is>
      </c>
      <c r="H78" s="2" t="inlineStr">
        <is>
          <t>95% gross (industry)</t>
        </is>
      </c>
      <c r="I78" s="9" t="inlineStr">
        <is>
          <t>Usage decreases through time or Churn risk</t>
        </is>
      </c>
      <c r="J78" s="23" t="inlineStr">
        <is>
          <t>100% gross retention, 95% industry ret.</t>
        </is>
      </c>
    </row>
    <row r="79">
      <c r="B79" s="26" t="inlineStr">
        <is>
          <t>Revenue Concentration</t>
        </is>
      </c>
      <c r="C79" s="48" t="n">
        <v>5</v>
      </c>
      <c r="D79" s="27" t="n">
        <v>0.1</v>
      </c>
      <c r="E79" s="48" t="inlineStr">
        <is>
          <t>+</t>
        </is>
      </c>
      <c r="F79" s="9" t="n"/>
      <c r="G79" s="2" t="inlineStr">
        <is>
          <t xml:space="preserve">Low customer concentration; diversified	</t>
        </is>
      </c>
      <c r="H79" s="2" t="inlineStr">
        <is>
          <t xml:space="preserve">1–2 customers = 20–30%	</t>
        </is>
      </c>
      <c r="I79" s="9" t="inlineStr">
        <is>
          <t>High concentration &gt;40%</t>
        </is>
      </c>
      <c r="J79" s="23" t="n"/>
    </row>
    <row r="80" ht="15" customHeight="1">
      <c r="B80" s="53" t="inlineStr">
        <is>
          <t>Revenue Predictability (transformation opportunity for value creation)</t>
        </is>
      </c>
      <c r="C80" s="48" t="n">
        <v>5</v>
      </c>
      <c r="D80" s="27" t="n">
        <v>0.1</v>
      </c>
      <c r="E80" s="48" t="n"/>
      <c r="F80" s="9" t="n"/>
      <c r="G80" s="2" t="inlineStr">
        <is>
          <t>Partially recurring today, with clear opportunity to increase or convert to a fully recurring model</t>
        </is>
      </c>
      <c r="H80" s="2" t="inlineStr">
        <is>
          <t>Revenue is already largely recurring (e.g., 80–90% contracted or usage-based), limiting transformation upside</t>
        </is>
      </c>
      <c r="I80" s="9" t="inlineStr">
        <is>
          <t>Fully non-recurring or lumpy project-based revenue; unclear or no path to predictability</t>
        </is>
      </c>
      <c r="J80" s="23" t="n"/>
    </row>
    <row r="81">
      <c r="B81" s="26" t="inlineStr">
        <is>
          <t>Unit Economics are Attractive; Sizeable Co.</t>
        </is>
      </c>
      <c r="C81" s="48" t="n">
        <v>5</v>
      </c>
      <c r="D81" s="27" t="n">
        <v>0.1</v>
      </c>
      <c r="E81" s="48" t="inlineStr">
        <is>
          <t>+/-</t>
        </is>
      </c>
      <c r="F81" s="9" t="n"/>
      <c r="G81" s="2" t="inlineStr">
        <is>
          <t xml:space="preserve">High gross margins; &gt;$5M revenue	</t>
        </is>
      </c>
      <c r="H81" s="2" t="inlineStr">
        <is>
          <t xml:space="preserve">Moderate EBITDA / growing margins	</t>
        </is>
      </c>
      <c r="I81" s="9" t="inlineStr">
        <is>
          <t>Small business; low margins</t>
        </is>
      </c>
      <c r="J81" s="23" t="inlineStr">
        <is>
          <t>~80%/~55% recurring/non-rec gross margin</t>
        </is>
      </c>
    </row>
    <row r="82">
      <c r="B82" s="26" t="inlineStr">
        <is>
          <t>Technology is Sound; Product is Scalable</t>
        </is>
      </c>
      <c r="C82" s="48" t="n">
        <v>5</v>
      </c>
      <c r="D82" s="27" t="n">
        <v>0.05</v>
      </c>
      <c r="E82" s="48" t="inlineStr">
        <is>
          <t>+</t>
        </is>
      </c>
      <c r="F82" s="9" t="n"/>
      <c r="G82" s="2" t="inlineStr">
        <is>
          <t xml:space="preserve">Cloud-native, scalable	</t>
        </is>
      </c>
      <c r="H82" s="2" t="inlineStr">
        <is>
          <t xml:space="preserve">Needs modernization	</t>
        </is>
      </c>
      <c r="I82" s="9" t="inlineStr">
        <is>
          <t>Legacy / unscalable</t>
        </is>
      </c>
      <c r="J82" s="23" t="inlineStr">
        <is>
          <t>Multi-tenant modern SaaS hosted in Azure</t>
        </is>
      </c>
    </row>
    <row r="83">
      <c r="B83" s="26" t="inlineStr">
        <is>
          <t>Valuation</t>
        </is>
      </c>
      <c r="C83" s="48" t="n">
        <v>5</v>
      </c>
      <c r="D83" s="27" t="n">
        <v>0.05</v>
      </c>
      <c r="E83" s="48" t="inlineStr">
        <is>
          <t>+/-</t>
        </is>
      </c>
      <c r="F83" s="9" t="n"/>
      <c r="G83" s="2" t="inlineStr">
        <is>
          <t>Low absolute price (~$10M) or attractive multiple</t>
        </is>
      </c>
      <c r="H83" s="2" t="inlineStr">
        <is>
          <t>Reasonable (~3.5x Revenue)</t>
        </is>
      </c>
      <c r="I83" s="9" t="inlineStr">
        <is>
          <t>High Multiple (~6x ARR) / premium paid</t>
        </is>
      </c>
      <c r="J83" s="23" t="inlineStr">
        <is>
          <t>Paying relatively full price</t>
        </is>
      </c>
    </row>
    <row r="84">
      <c r="B84" s="26" t="inlineStr">
        <is>
          <t>Strong team, seller willingness, &amp;  smooth transition path</t>
        </is>
      </c>
      <c r="C84" s="48" t="n">
        <v>5</v>
      </c>
      <c r="D84" s="27" t="n">
        <v>0.1</v>
      </c>
      <c r="E84" s="48" t="inlineStr">
        <is>
          <t>+/-</t>
        </is>
      </c>
      <c r="G84" s="2" t="inlineStr">
        <is>
          <t xml:space="preserve">Seller ready; strong team	</t>
        </is>
      </c>
      <c r="H84" s="2" t="inlineStr">
        <is>
          <t xml:space="preserve">Needs transition or talent adds	</t>
        </is>
      </c>
      <c r="I84" s="2" t="inlineStr">
        <is>
          <t>Seller unwilling or team weak</t>
        </is>
      </c>
      <c r="J84" s="9" t="n"/>
    </row>
    <row r="85">
      <c r="B85" s="14" t="inlineStr">
        <is>
          <t>Total Score</t>
        </is>
      </c>
      <c r="C85" s="47">
        <f>SUMPRODUCT(C75:C83,D75:D83)</f>
        <v/>
      </c>
      <c r="D85" s="18" t="inlineStr">
        <is>
          <t>Commentary: I would personally give WW a 8 to 8+</t>
        </is>
      </c>
      <c r="E85" s="18" t="n"/>
      <c r="F85" s="16" t="n"/>
      <c r="G85" s="16" t="n"/>
      <c r="H85" s="16" t="n"/>
      <c r="I85" s="16" t="n"/>
      <c r="J85" s="17" t="n"/>
    </row>
    <row r="86">
      <c r="D86" s="3">
        <f>SUM(D75:D84)</f>
        <v/>
      </c>
    </row>
    <row r="87" ht="15" customHeight="1">
      <c r="B87" s="35" t="inlineStr">
        <is>
          <t>WW - Company Scorecard</t>
        </is>
      </c>
      <c r="C87" s="36" t="inlineStr">
        <is>
          <t>Score</t>
        </is>
      </c>
      <c r="D87" s="37" t="inlineStr">
        <is>
          <t>Weight</t>
        </is>
      </c>
      <c r="E87" s="38" t="inlineStr">
        <is>
          <t>Evaluation</t>
        </is>
      </c>
      <c r="F87" s="39" t="n"/>
      <c r="G87" s="58" t="inlineStr">
        <is>
          <t>Evaluation</t>
        </is>
      </c>
      <c r="H87" s="59" t="n"/>
      <c r="I87" s="60" t="n"/>
      <c r="J87" s="40" t="inlineStr">
        <is>
          <t>General Commentary / Supporting Data</t>
        </is>
      </c>
    </row>
    <row r="88">
      <c r="B88" s="41" t="n"/>
      <c r="C88" s="42" t="inlineStr">
        <is>
          <t>(1-10)</t>
        </is>
      </c>
      <c r="D88" s="43" t="inlineStr">
        <is>
          <t>(%)</t>
        </is>
      </c>
      <c r="E88" s="44" t="inlineStr">
        <is>
          <t>+/-</t>
        </is>
      </c>
      <c r="F88" s="45" t="n"/>
      <c r="G88" s="44" t="inlineStr">
        <is>
          <t>+</t>
        </is>
      </c>
      <c r="H88" s="44" t="inlineStr">
        <is>
          <t>+/-</t>
        </is>
      </c>
      <c r="I88" s="45" t="inlineStr">
        <is>
          <t>-</t>
        </is>
      </c>
      <c r="J88" s="46" t="n"/>
    </row>
    <row r="89">
      <c r="B89" s="26" t="inlineStr">
        <is>
          <t>Clear Value Proposition &amp; Mission Criticality</t>
        </is>
      </c>
      <c r="C89" s="48" t="n">
        <v>5</v>
      </c>
      <c r="D89" s="27" t="n">
        <v>0.15</v>
      </c>
      <c r="E89" s="48" t="inlineStr">
        <is>
          <t>+/-</t>
        </is>
      </c>
      <c r="F89" s="9" t="n"/>
      <c r="G89" s="2" t="inlineStr">
        <is>
          <t>Clear value proposition; mission critical for primary ICP (IDN, Hospitals, etc)</t>
        </is>
      </c>
      <c r="H89" s="2" t="inlineStr">
        <is>
          <t>Partial clarity; benefits visible but ROI not always evident across segments</t>
        </is>
      </c>
      <c r="I89" s="9" t="inlineStr">
        <is>
          <t>Unclear value or non-mission-critical; easily delayed or cut from budget</t>
        </is>
      </c>
      <c r="J89" s="23" t="inlineStr">
        <is>
          <t>Strong ROI, though not 100% mission critical</t>
        </is>
      </c>
    </row>
    <row r="90">
      <c r="B90" s="26" t="inlineStr">
        <is>
          <t>Market is Hospitable (&amp; Sizeable) to Grow</t>
        </is>
      </c>
      <c r="C90" s="48" t="n">
        <v>5</v>
      </c>
      <c r="D90" s="27" t="n">
        <v>0.15</v>
      </c>
      <c r="E90" s="48" t="inlineStr">
        <is>
          <t>+</t>
        </is>
      </c>
      <c r="F90" s="9" t="n"/>
      <c r="G90" s="2" t="inlineStr">
        <is>
          <t>35% penetration; strong tailwinds</t>
        </is>
      </c>
      <c r="H90" s="2" t="inlineStr">
        <is>
          <t>Growing strong in smaller segments</t>
        </is>
      </c>
      <c r="I90" s="9" t="inlineStr">
        <is>
          <t>Slower growth in larger/target segments</t>
        </is>
      </c>
      <c r="J90" s="23" t="inlineStr">
        <is>
          <t>Underpenetrated market growing &gt;10%</t>
        </is>
      </c>
    </row>
    <row r="91">
      <c r="B91" s="26" t="inlineStr">
        <is>
          <t>Company has a 'Right to Win' at Attractive ICP</t>
        </is>
      </c>
      <c r="C91" s="48" t="n">
        <v>5</v>
      </c>
      <c r="D91" s="27" t="n">
        <v>0.1</v>
      </c>
      <c r="E91" s="48" t="inlineStr">
        <is>
          <t>+</t>
        </is>
      </c>
      <c r="F91" s="9" t="n"/>
      <c r="G91" s="2" t="inlineStr">
        <is>
          <t>Wins frequently; strong fit</t>
        </is>
      </c>
      <c r="H91" s="2" t="inlineStr">
        <is>
          <t>Needs brand elevation or credibility</t>
        </is>
      </c>
      <c r="I91" s="9" t="inlineStr">
        <is>
          <t>Poor ICP fit</t>
        </is>
      </c>
      <c r="J91" s="23" t="inlineStr">
        <is>
          <t>Win/loss ratios of 1/3 or more</t>
        </is>
      </c>
    </row>
    <row r="92">
      <c r="B92" s="26" t="inlineStr">
        <is>
          <t>Company Retains Its Customers</t>
        </is>
      </c>
      <c r="C92" s="48" t="n">
        <v>5</v>
      </c>
      <c r="D92" s="27" t="n">
        <v>0.1</v>
      </c>
      <c r="E92" s="48" t="inlineStr">
        <is>
          <t>+</t>
        </is>
      </c>
      <c r="F92" s="9" t="n"/>
      <c r="G92" s="2" t="inlineStr">
        <is>
          <t>100% gross / 110% net</t>
        </is>
      </c>
      <c r="H92" s="2" t="inlineStr">
        <is>
          <t>95% gross (industry)</t>
        </is>
      </c>
      <c r="I92" s="9" t="inlineStr">
        <is>
          <t>Usage decreases through time or Churn risk</t>
        </is>
      </c>
      <c r="J92" s="23" t="inlineStr">
        <is>
          <t>100% gross retention, 95% industry ret.</t>
        </is>
      </c>
    </row>
    <row r="93">
      <c r="B93" s="26" t="inlineStr">
        <is>
          <t>Revenue Concentration</t>
        </is>
      </c>
      <c r="C93" s="48" t="n">
        <v>5</v>
      </c>
      <c r="D93" s="27" t="n">
        <v>0.1</v>
      </c>
      <c r="E93" s="48" t="inlineStr">
        <is>
          <t>+</t>
        </is>
      </c>
      <c r="F93" s="9" t="n"/>
      <c r="G93" s="2" t="inlineStr">
        <is>
          <t xml:space="preserve">Low customer concentration; diversified	</t>
        </is>
      </c>
      <c r="H93" s="2" t="inlineStr">
        <is>
          <t xml:space="preserve">1–2 customers = 20–30%	</t>
        </is>
      </c>
      <c r="I93" s="9" t="inlineStr">
        <is>
          <t>High concentration &gt;40%</t>
        </is>
      </c>
      <c r="J93" s="23" t="n"/>
    </row>
    <row r="94" ht="15" customHeight="1">
      <c r="B94" s="53" t="inlineStr">
        <is>
          <t>Revenue Predictability (transformation opportunity for value creation)</t>
        </is>
      </c>
      <c r="C94" s="48" t="n">
        <v>5</v>
      </c>
      <c r="D94" s="27" t="n">
        <v>0.1</v>
      </c>
      <c r="E94" s="48" t="n"/>
      <c r="F94" s="9" t="n"/>
      <c r="G94" s="2" t="inlineStr">
        <is>
          <t>Partially recurring today, with clear opportunity to increase or convert to a fully recurring model</t>
        </is>
      </c>
      <c r="H94" s="2" t="inlineStr">
        <is>
          <t>Revenue is already largely recurring (e.g., 80–90% contracted or usage-based), limiting transformation upside</t>
        </is>
      </c>
      <c r="I94" s="9" t="inlineStr">
        <is>
          <t>Fully non-recurring or lumpy project-based revenue; unclear or no path to predictability</t>
        </is>
      </c>
      <c r="J94" s="23" t="n"/>
    </row>
    <row r="95">
      <c r="B95" s="26" t="inlineStr">
        <is>
          <t>Unit Economics are Attractive; Sizeable Co.</t>
        </is>
      </c>
      <c r="C95" s="48" t="n">
        <v>5</v>
      </c>
      <c r="D95" s="27" t="n">
        <v>0.1</v>
      </c>
      <c r="E95" s="48" t="inlineStr">
        <is>
          <t>+/-</t>
        </is>
      </c>
      <c r="F95" s="9" t="n"/>
      <c r="G95" s="2" t="inlineStr">
        <is>
          <t xml:space="preserve">High gross margins; &gt;$5M revenue	</t>
        </is>
      </c>
      <c r="H95" s="2" t="inlineStr">
        <is>
          <t xml:space="preserve">Moderate EBITDA / growing margins	</t>
        </is>
      </c>
      <c r="I95" s="9" t="inlineStr">
        <is>
          <t>Small business; low margins</t>
        </is>
      </c>
      <c r="J95" s="23" t="inlineStr">
        <is>
          <t>~80%/~55% recurring/non-rec gross margin</t>
        </is>
      </c>
    </row>
    <row r="96">
      <c r="B96" s="26" t="inlineStr">
        <is>
          <t>Technology is Sound; Product is Scalable</t>
        </is>
      </c>
      <c r="C96" s="48" t="n">
        <v>5</v>
      </c>
      <c r="D96" s="27" t="n">
        <v>0.05</v>
      </c>
      <c r="E96" s="48" t="inlineStr">
        <is>
          <t>+</t>
        </is>
      </c>
      <c r="F96" s="9" t="n"/>
      <c r="G96" s="2" t="inlineStr">
        <is>
          <t xml:space="preserve">Cloud-native, scalable	</t>
        </is>
      </c>
      <c r="H96" s="2" t="inlineStr">
        <is>
          <t xml:space="preserve">Needs modernization	</t>
        </is>
      </c>
      <c r="I96" s="9" t="inlineStr">
        <is>
          <t>Legacy / unscalable</t>
        </is>
      </c>
      <c r="J96" s="23" t="inlineStr">
        <is>
          <t>Multi-tenant modern SaaS hosted in Azure</t>
        </is>
      </c>
    </row>
    <row r="97">
      <c r="B97" s="26" t="inlineStr">
        <is>
          <t>Valuation</t>
        </is>
      </c>
      <c r="C97" s="48" t="n">
        <v>5</v>
      </c>
      <c r="D97" s="27" t="n">
        <v>0.05</v>
      </c>
      <c r="E97" s="48" t="inlineStr">
        <is>
          <t>+/-</t>
        </is>
      </c>
      <c r="F97" s="9" t="n"/>
      <c r="G97" s="2" t="inlineStr">
        <is>
          <t>Low absolute price (~$10M) or attractive multiple</t>
        </is>
      </c>
      <c r="H97" s="2" t="inlineStr">
        <is>
          <t>Reasonable (~3.5x Revenue)</t>
        </is>
      </c>
      <c r="I97" s="9" t="inlineStr">
        <is>
          <t>High Multiple (~6x ARR) / premium paid</t>
        </is>
      </c>
      <c r="J97" s="23" t="inlineStr">
        <is>
          <t>Paying relatively full price</t>
        </is>
      </c>
    </row>
    <row r="98">
      <c r="B98" s="26" t="inlineStr">
        <is>
          <t>Strong team, seller willingness, &amp;  smooth transition path</t>
        </is>
      </c>
      <c r="C98" s="48" t="n">
        <v>5</v>
      </c>
      <c r="D98" s="27" t="n">
        <v>0.1</v>
      </c>
      <c r="E98" s="48" t="inlineStr">
        <is>
          <t>+/-</t>
        </is>
      </c>
      <c r="G98" s="2" t="inlineStr">
        <is>
          <t xml:space="preserve">Seller ready; strong team	</t>
        </is>
      </c>
      <c r="H98" s="2" t="inlineStr">
        <is>
          <t xml:space="preserve">Needs transition or talent adds	</t>
        </is>
      </c>
      <c r="I98" s="2" t="inlineStr">
        <is>
          <t>Seller unwilling or team weak</t>
        </is>
      </c>
      <c r="J98" s="9" t="n"/>
    </row>
    <row r="99">
      <c r="B99" s="14" t="inlineStr">
        <is>
          <t>Total Score</t>
        </is>
      </c>
      <c r="C99" s="47">
        <f>SUMPRODUCT(C89:C97,D89:D97)</f>
        <v/>
      </c>
      <c r="D99" s="18" t="inlineStr">
        <is>
          <t>Commentary: I would personally give WW a 8 to 8+</t>
        </is>
      </c>
      <c r="E99" s="18" t="n"/>
      <c r="F99" s="16" t="n"/>
      <c r="G99" s="16" t="n"/>
      <c r="H99" s="16" t="n"/>
      <c r="I99" s="16" t="n"/>
      <c r="J99" s="17" t="n"/>
    </row>
  </sheetData>
  <mergeCells count="5">
    <mergeCell ref="G5:I5"/>
    <mergeCell ref="G45:I45"/>
    <mergeCell ref="G87:I87"/>
    <mergeCell ref="G73:I73"/>
    <mergeCell ref="G59:I59"/>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Luka Salamunic</dc:creator>
  <dcterms:created xmlns:dcterms="http://purl.org/dc/terms/" xmlns:xsi="http://www.w3.org/2001/XMLSchema-instance" xsi:type="dcterms:W3CDTF">2015-06-05T18:17:20Z</dcterms:created>
  <dcterms:modified xmlns:dcterms="http://purl.org/dc/terms/" xmlns:xsi="http://www.w3.org/2001/XMLSchema-instance" xsi:type="dcterms:W3CDTF">2026-04-07T13:25:51Z</dcterms:modified>
  <cp:lastModifiedBy>K Sch</cp:lastModifiedBy>
</cp:coreProperties>
</file>