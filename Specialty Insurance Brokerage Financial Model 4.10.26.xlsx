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900" yWindow="600" windowWidth="20500" windowHeight="15900" tabRatio="600" firstSheet="0" activeTab="2" autoFilterDateGrouping="1"/>
  </bookViews>
  <sheets>
    <sheet xmlns:r="http://schemas.openxmlformats.org/officeDocument/2006/relationships" name="Model Template" sheetId="1" state="visible" r:id="rId1"/>
    <sheet xmlns:r="http://schemas.openxmlformats.org/officeDocument/2006/relationships" name="Growth" sheetId="2" state="visible" r:id="rId2"/>
    <sheet xmlns:r="http://schemas.openxmlformats.org/officeDocument/2006/relationships" name="Value" sheetId="3" state="visible" r:id="rId3"/>
  </sheets>
  <definedNames/>
  <calcPr calcId="191029" calcMode="autoNoTable" fullCalcOnLoad="1" iterate="1"/>
</workbook>
</file>

<file path=xl/styles.xml><?xml version="1.0" encoding="utf-8"?>
<styleSheet xmlns="http://schemas.openxmlformats.org/spreadsheetml/2006/main">
  <numFmts count="19">
    <numFmt numFmtId="164" formatCode="0.0\x;\(0.0\x\);&quot;–&quot;"/>
    <numFmt numFmtId="165" formatCode="##,##0;\(##,##0\)"/>
    <numFmt numFmtId="166" formatCode="&quot;$&quot;#,#00"/>
    <numFmt numFmtId="167" formatCode="0.0\x"/>
    <numFmt numFmtId="168" formatCode="0.0"/>
    <numFmt numFmtId="169" formatCode="##,##0.0;\(##,##0.0\)"/>
    <numFmt numFmtId="170" formatCode="&quot;$&quot;#,#00;\(&quot;$&quot;#,#00\)"/>
    <numFmt numFmtId="171" formatCode="\-"/>
    <numFmt numFmtId="172" formatCode="&quot;$&quot;##,##0;\(&quot;$&quot;##,##0\)"/>
    <numFmt numFmtId="173" formatCode="#%"/>
    <numFmt numFmtId="174" formatCode="&quot;$&quot;#,##0.00_);\(&quot;$&quot;#,##0.00\)"/>
    <numFmt numFmtId="175" formatCode="yyyy;@"/>
    <numFmt numFmtId="176" formatCode="mm\-dd\-yyyy;@"/>
    <numFmt numFmtId="177" formatCode="0.0000"/>
    <numFmt numFmtId="178" formatCode="#0%"/>
    <numFmt numFmtId="179" formatCode="#0.00%"/>
    <numFmt numFmtId="180" formatCode="#0.0000%"/>
    <numFmt numFmtId="181" formatCode="&quot;$&quot;#,##0.00"/>
    <numFmt numFmtId="182" formatCode="&quot;$&quot;#,##0.0_);\(&quot;$&quot;#,##0.0\)"/>
  </numFmts>
  <fonts count="26">
    <font>
      <name val="Aptos Narrow"/>
      <family val="2"/>
      <color theme="1"/>
      <sz val="11"/>
      <scheme val="minor"/>
    </font>
    <font>
      <name val="Aptos Narrow"/>
      <family val="2"/>
      <color theme="1"/>
      <sz val="11"/>
      <scheme val="minor"/>
    </font>
    <font>
      <name val="Arial"/>
      <family val="2"/>
      <color theme="0"/>
      <sz val="20"/>
    </font>
    <font>
      <name val="Arial"/>
      <family val="2"/>
      <color theme="1"/>
      <sz val="8"/>
    </font>
    <font>
      <name val="Arial"/>
      <family val="2"/>
      <color theme="0"/>
      <sz val="8"/>
    </font>
    <font>
      <name val="Arial"/>
      <family val="2"/>
      <i val="1"/>
      <color theme="1"/>
      <sz val="8"/>
    </font>
    <font>
      <name val="Arial"/>
      <family val="2"/>
      <color theme="1"/>
      <sz val="8"/>
      <u val="single"/>
    </font>
    <font>
      <name val="Arial"/>
      <family val="2"/>
      <color rgb="FF0000FF"/>
      <sz val="8"/>
    </font>
    <font>
      <name val="Arial"/>
      <family val="2"/>
      <sz val="8"/>
    </font>
    <font>
      <name val="Arial"/>
      <family val="2"/>
      <b val="1"/>
      <color theme="0"/>
      <sz val="8"/>
    </font>
    <font>
      <name val="Arial"/>
      <family val="2"/>
      <b val="1"/>
      <color theme="1"/>
      <sz val="8"/>
      <u val="single"/>
    </font>
    <font>
      <name val="Arial"/>
      <family val="2"/>
      <i val="1"/>
      <color rgb="FF0000FF"/>
      <sz val="8"/>
    </font>
    <font>
      <name val="Arial"/>
      <family val="2"/>
      <color rgb="FF000000"/>
      <sz val="8"/>
    </font>
    <font>
      <name val="Arial"/>
      <family val="2"/>
      <color theme="2"/>
      <sz val="8"/>
    </font>
    <font>
      <name val="Arial"/>
      <family val="2"/>
      <color rgb="FFFF0000"/>
      <sz val="8"/>
    </font>
    <font>
      <name val="Arial"/>
      <family val="2"/>
      <b val="1"/>
      <color rgb="FFFF0000"/>
      <sz val="8"/>
    </font>
    <font>
      <name val="Aptos Narrow"/>
      <family val="2"/>
      <color theme="10"/>
      <sz val="11"/>
      <u val="single"/>
      <scheme val="minor"/>
    </font>
    <font>
      <name val="Arial"/>
      <family val="2"/>
      <i val="1"/>
      <color theme="5"/>
      <sz val="8"/>
    </font>
    <font>
      <name val="Arial"/>
      <family val="2"/>
      <b val="1"/>
      <color theme="1"/>
      <sz val="8"/>
    </font>
    <font>
      <name val="Arial"/>
      <family val="2"/>
      <i val="1"/>
      <color rgb="FFFF0000"/>
      <sz val="8"/>
    </font>
    <font>
      <name val="Arial"/>
      <family val="2"/>
      <b val="1"/>
      <sz val="8"/>
      <u val="single"/>
    </font>
    <font>
      <name val="Arial"/>
      <family val="2"/>
      <i val="1"/>
      <sz val="8"/>
    </font>
    <font>
      <name val="Arial"/>
      <family val="2"/>
      <i val="1"/>
      <color theme="1" tint="0.3499862666707358"/>
      <sz val="8"/>
    </font>
    <font>
      <name val="Arial"/>
      <family val="2"/>
      <color theme="1" tint="0.3499862666707358"/>
      <sz val="8"/>
    </font>
    <font>
      <name val="Arial"/>
      <family val="2"/>
      <i val="1"/>
      <color rgb="FF0000FF"/>
      <sz val="8"/>
      <u val="single"/>
    </font>
    <font>
      <name val="Arial"/>
      <family val="2"/>
      <color rgb="FFFF8000"/>
      <sz val="8"/>
    </font>
  </fonts>
  <fills count="9">
    <fill>
      <patternFill/>
    </fill>
    <fill>
      <patternFill patternType="gray125"/>
    </fill>
    <fill>
      <patternFill patternType="solid">
        <fgColor theme="4"/>
        <bgColor indexed="64"/>
      </patternFill>
    </fill>
    <fill>
      <patternFill patternType="solid">
        <fgColor rgb="FF002060"/>
        <bgColor indexed="64"/>
      </patternFill>
    </fill>
    <fill>
      <patternFill patternType="solid">
        <fgColor rgb="FFFFF2CC"/>
        <bgColor indexed="64"/>
      </patternFill>
    </fill>
    <fill>
      <patternFill patternType="solid">
        <fgColor rgb="FFC9DAF8"/>
        <bgColor indexed="64"/>
      </patternFill>
    </fill>
    <fill>
      <patternFill patternType="solid">
        <fgColor theme="1"/>
        <bgColor indexed="64"/>
      </patternFill>
    </fill>
    <fill>
      <patternFill patternType="solid">
        <fgColor theme="0"/>
        <bgColor indexed="64"/>
      </patternFill>
    </fill>
    <fill>
      <patternFill patternType="solid">
        <fgColor theme="9" tint="0.7999816888943144"/>
        <bgColor indexed="64"/>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1" fillId="0" borderId="0"/>
    <xf numFmtId="9" fontId="1" fillId="0" borderId="0"/>
    <xf numFmtId="0" fontId="16" fillId="0" borderId="0"/>
  </cellStyleXfs>
  <cellXfs count="256">
    <xf numFmtId="0" fontId="0" fillId="0" borderId="0" pivotButton="0" quotePrefix="0" xfId="0"/>
    <xf numFmtId="0" fontId="4" fillId="2" borderId="0" applyAlignment="1" pivotButton="0" quotePrefix="0" xfId="0">
      <alignment horizontal="center"/>
    </xf>
    <xf numFmtId="0" fontId="3" fillId="0" borderId="0" applyAlignment="1" pivotButton="0" quotePrefix="0" xfId="0">
      <alignment horizontal="center"/>
    </xf>
    <xf numFmtId="0" fontId="3" fillId="0" borderId="6" applyAlignment="1" pivotButton="0" quotePrefix="0" xfId="0">
      <alignment horizontal="left"/>
    </xf>
    <xf numFmtId="9" fontId="7" fillId="0" borderId="7" applyAlignment="1" pivotButton="0" quotePrefix="0" xfId="0">
      <alignment horizontal="right"/>
    </xf>
    <xf numFmtId="9" fontId="7" fillId="4" borderId="2" applyAlignment="1" pivotButton="0" quotePrefix="0" xfId="0">
      <alignment horizontal="center"/>
    </xf>
    <xf numFmtId="0" fontId="3" fillId="0" borderId="0" applyAlignment="1" pivotButton="0" quotePrefix="0" xfId="0">
      <alignment horizontal="right"/>
    </xf>
    <xf numFmtId="164" fontId="7" fillId="0" borderId="7" applyAlignment="1" pivotButton="0" quotePrefix="0" xfId="0">
      <alignment horizontal="right"/>
    </xf>
    <xf numFmtId="0" fontId="15" fillId="0" borderId="10" applyAlignment="1" pivotButton="0" quotePrefix="0" xfId="0">
      <alignment horizontal="center"/>
    </xf>
    <xf numFmtId="0" fontId="3" fillId="0" borderId="0" applyAlignment="1" pivotButton="0" quotePrefix="0" xfId="0">
      <alignment horizontal="left"/>
    </xf>
    <xf numFmtId="165" fontId="7" fillId="4" borderId="2" applyAlignment="1" pivotButton="0" quotePrefix="0" xfId="0">
      <alignment horizontal="right"/>
    </xf>
    <xf numFmtId="0" fontId="7" fillId="4" borderId="2" applyAlignment="1" pivotButton="0" quotePrefix="0" xfId="0">
      <alignment horizontal="right"/>
    </xf>
    <xf numFmtId="164" fontId="3" fillId="0" borderId="0" applyAlignment="1" pivotButton="0" quotePrefix="0" xfId="0">
      <alignment horizontal="right"/>
    </xf>
    <xf numFmtId="9" fontId="8" fillId="0" borderId="7" pivotButton="0" quotePrefix="0" xfId="1"/>
    <xf numFmtId="9" fontId="8" fillId="0" borderId="9" pivotButton="0" quotePrefix="0" xfId="1"/>
    <xf numFmtId="9" fontId="3" fillId="7" borderId="12" pivotButton="0" quotePrefix="0" xfId="1"/>
    <xf numFmtId="0" fontId="15" fillId="0" borderId="12" applyAlignment="1" pivotButton="0" quotePrefix="0" xfId="0">
      <alignment horizontal="center"/>
    </xf>
    <xf numFmtId="166" fontId="7" fillId="0" borderId="7" applyAlignment="1" pivotButton="0" quotePrefix="0" xfId="0">
      <alignment horizontal="right"/>
    </xf>
    <xf numFmtId="0" fontId="3" fillId="0" borderId="0" pivotButton="0" quotePrefix="0" xfId="0"/>
    <xf numFmtId="0" fontId="3" fillId="0" borderId="8"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3" fillId="0" borderId="7" applyAlignment="1" pivotButton="0" quotePrefix="0" xfId="0">
      <alignment horizontal="right"/>
    </xf>
    <xf numFmtId="164" fontId="3" fillId="0" borderId="7" pivotButton="0" quotePrefix="0" xfId="0"/>
    <xf numFmtId="0" fontId="5" fillId="0" borderId="0" applyAlignment="1" pivotButton="0" quotePrefix="0" xfId="0">
      <alignment horizontal="center"/>
    </xf>
    <xf numFmtId="165" fontId="3" fillId="0" borderId="0" pivotButton="0" quotePrefix="0" xfId="0"/>
    <xf numFmtId="0" fontId="18" fillId="5" borderId="1" applyAlignment="1" pivotButton="0" quotePrefix="0" xfId="0">
      <alignment horizontal="left"/>
    </xf>
    <xf numFmtId="0" fontId="2" fillId="2" borderId="0" pivotButton="0" quotePrefix="0" xfId="0"/>
    <xf numFmtId="0" fontId="4" fillId="2" borderId="0" pivotButton="0" quotePrefix="0" xfId="0"/>
    <xf numFmtId="0" fontId="15" fillId="0" borderId="11" pivotButton="0" quotePrefix="0" xfId="0"/>
    <xf numFmtId="0" fontId="9" fillId="3" borderId="3" pivotButton="0" quotePrefix="0" xfId="0"/>
    <xf numFmtId="0" fontId="4" fillId="3" borderId="4" pivotButton="0" quotePrefix="0" xfId="0"/>
    <xf numFmtId="0" fontId="4" fillId="3" borderId="5" pivotButton="0" quotePrefix="0" xfId="0"/>
    <xf numFmtId="0" fontId="3" fillId="0" borderId="6" pivotButton="0" quotePrefix="0" xfId="0"/>
    <xf numFmtId="166" fontId="8" fillId="0" borderId="0" pivotButton="0" quotePrefix="0" xfId="0"/>
    <xf numFmtId="167" fontId="8" fillId="0" borderId="0" pivotButton="0" quotePrefix="0" xfId="0"/>
    <xf numFmtId="0" fontId="8" fillId="0" borderId="0" pivotButton="0" quotePrefix="0" xfId="0"/>
    <xf numFmtId="0" fontId="8" fillId="0" borderId="6" pivotButton="0" quotePrefix="0" xfId="0"/>
    <xf numFmtId="0" fontId="3" fillId="0" borderId="8" pivotButton="0" quotePrefix="0" xfId="0"/>
    <xf numFmtId="3" fontId="8" fillId="0" borderId="1" pivotButton="0" quotePrefix="0" xfId="0"/>
    <xf numFmtId="167" fontId="8" fillId="0" borderId="1" pivotButton="0" quotePrefix="0" xfId="0"/>
    <xf numFmtId="165" fontId="8" fillId="0" borderId="0" pivotButton="0" quotePrefix="0" xfId="0"/>
    <xf numFmtId="168" fontId="8" fillId="0" borderId="0" pivotButton="0" quotePrefix="0" xfId="0"/>
    <xf numFmtId="3" fontId="8" fillId="0" borderId="0" pivotButton="0" quotePrefix="0" xfId="0"/>
    <xf numFmtId="169" fontId="8" fillId="0" borderId="0" pivotButton="0" quotePrefix="0" xfId="0"/>
    <xf numFmtId="0" fontId="8" fillId="0" borderId="7" pivotButton="0" quotePrefix="0" xfId="0"/>
    <xf numFmtId="0" fontId="3" fillId="0" borderId="7" pivotButton="0" quotePrefix="0" xfId="0"/>
    <xf numFmtId="170" fontId="7" fillId="0" borderId="7" pivotButton="0" quotePrefix="0" xfId="0"/>
    <xf numFmtId="0" fontId="3" fillId="7" borderId="10" pivotButton="0" quotePrefix="0" xfId="0"/>
    <xf numFmtId="166" fontId="3" fillId="7" borderId="11" pivotButton="0" quotePrefix="0" xfId="0"/>
    <xf numFmtId="167" fontId="3" fillId="7" borderId="11" pivotButton="0" quotePrefix="0" xfId="0"/>
    <xf numFmtId="0" fontId="3" fillId="7" borderId="0" pivotButton="0" quotePrefix="0" xfId="0"/>
    <xf numFmtId="0" fontId="3" fillId="0" borderId="1" pivotButton="0" quotePrefix="0" xfId="0"/>
    <xf numFmtId="0" fontId="9" fillId="6" borderId="0" pivotButton="0" quotePrefix="0" xfId="0"/>
    <xf numFmtId="0" fontId="4" fillId="6" borderId="0" pivotButton="0" quotePrefix="0" xfId="0"/>
    <xf numFmtId="0" fontId="3" fillId="6" borderId="0" pivotButton="0" quotePrefix="0" xfId="0"/>
    <xf numFmtId="166" fontId="7" fillId="5" borderId="0" pivotButton="0" quotePrefix="0" xfId="0"/>
    <xf numFmtId="166" fontId="3" fillId="0" borderId="0" pivotButton="0" quotePrefix="0" xfId="0"/>
    <xf numFmtId="0" fontId="5" fillId="5" borderId="0" pivotButton="0" quotePrefix="0" xfId="0"/>
    <xf numFmtId="9" fontId="5" fillId="5" borderId="0" pivotButton="0" quotePrefix="0" xfId="1"/>
    <xf numFmtId="9" fontId="11" fillId="0" borderId="0" pivotButton="0" quotePrefix="0" xfId="1"/>
    <xf numFmtId="9" fontId="7" fillId="0" borderId="0" pivotButton="0" quotePrefix="0" xfId="1"/>
    <xf numFmtId="0" fontId="3" fillId="5" borderId="0" pivotButton="0" quotePrefix="0" xfId="0"/>
    <xf numFmtId="166" fontId="12" fillId="0" borderId="0" pivotButton="0" quotePrefix="0" xfId="1"/>
    <xf numFmtId="165" fontId="8" fillId="0" borderId="0" pivotButton="0" quotePrefix="0" xfId="1"/>
    <xf numFmtId="0" fontId="3" fillId="0" borderId="4" pivotButton="0" quotePrefix="0" xfId="0"/>
    <xf numFmtId="9" fontId="5" fillId="5" borderId="4" pivotButton="0" quotePrefix="0" xfId="1"/>
    <xf numFmtId="166" fontId="8" fillId="0" borderId="4" pivotButton="0" quotePrefix="0" xfId="1"/>
    <xf numFmtId="170" fontId="8" fillId="0" borderId="0" pivotButton="0" quotePrefix="0" xfId="1"/>
    <xf numFmtId="0" fontId="3" fillId="0" borderId="0" applyAlignment="1" pivotButton="0" quotePrefix="1" xfId="0">
      <alignment horizontal="left"/>
    </xf>
    <xf numFmtId="0" fontId="3" fillId="5" borderId="4" pivotButton="0" quotePrefix="0" xfId="0"/>
    <xf numFmtId="170" fontId="3" fillId="0" borderId="4" pivotButton="0" quotePrefix="0" xfId="0"/>
    <xf numFmtId="170" fontId="3" fillId="0" borderId="0" pivotButton="0" quotePrefix="0" xfId="0"/>
    <xf numFmtId="171" fontId="3" fillId="0" borderId="0" pivotButton="0" quotePrefix="0" xfId="0"/>
    <xf numFmtId="170" fontId="12" fillId="0" borderId="0" pivotButton="0" quotePrefix="0" xfId="0"/>
    <xf numFmtId="0" fontId="14" fillId="0" borderId="0" pivotButton="0" quotePrefix="0" xfId="0"/>
    <xf numFmtId="0" fontId="6" fillId="0" borderId="0" pivotButton="0" quotePrefix="0" xfId="0"/>
    <xf numFmtId="172" fontId="3" fillId="0" borderId="0" pivotButton="0" quotePrefix="0" xfId="0"/>
    <xf numFmtId="165" fontId="12" fillId="0" borderId="0" pivotButton="0" quotePrefix="0" xfId="0"/>
    <xf numFmtId="172" fontId="8" fillId="0" borderId="0" pivotButton="0" quotePrefix="0" xfId="0"/>
    <xf numFmtId="9" fontId="7" fillId="0" borderId="0" pivotButton="0" quotePrefix="0" xfId="0"/>
    <xf numFmtId="0" fontId="13" fillId="0" borderId="0" pivotButton="0" quotePrefix="0" xfId="0"/>
    <xf numFmtId="9" fontId="7" fillId="4" borderId="13" pivotButton="0" quotePrefix="0" xfId="0"/>
    <xf numFmtId="9" fontId="7" fillId="4" borderId="2" pivotButton="0" quotePrefix="0" xfId="0"/>
    <xf numFmtId="170" fontId="7" fillId="4" borderId="2" pivotButton="0" quotePrefix="0" xfId="0"/>
    <xf numFmtId="9" fontId="3" fillId="0" borderId="0" pivotButton="0" quotePrefix="0" xfId="1"/>
    <xf numFmtId="9" fontId="3" fillId="0" borderId="0" pivotButton="0" quotePrefix="0" xfId="0"/>
    <xf numFmtId="9" fontId="3" fillId="0" borderId="4" pivotButton="0" quotePrefix="0" xfId="0"/>
    <xf numFmtId="173" fontId="3" fillId="0" borderId="0" pivotButton="0" quotePrefix="0" xfId="0"/>
    <xf numFmtId="2" fontId="3" fillId="0" borderId="0" pivotButton="0" quotePrefix="0" xfId="0"/>
    <xf numFmtId="0" fontId="17" fillId="0" borderId="0" pivotButton="0" quotePrefix="0" xfId="0"/>
    <xf numFmtId="170" fontId="3" fillId="0" borderId="7" pivotButton="0" quotePrefix="0" xfId="0"/>
    <xf numFmtId="3" fontId="3" fillId="0" borderId="0" pivotButton="0" quotePrefix="0" xfId="0"/>
    <xf numFmtId="165" fontId="14" fillId="0" borderId="0" pivotButton="0" quotePrefix="0" xfId="0"/>
    <xf numFmtId="0" fontId="18" fillId="5" borderId="3" pivotButton="0" quotePrefix="0" xfId="0"/>
    <xf numFmtId="165" fontId="3" fillId="5" borderId="4" pivotButton="0" quotePrefix="0" xfId="0"/>
    <xf numFmtId="0" fontId="3" fillId="5" borderId="6" pivotButton="0" quotePrefix="0" xfId="0"/>
    <xf numFmtId="0" fontId="3" fillId="5" borderId="7" pivotButton="0" quotePrefix="0" xfId="0"/>
    <xf numFmtId="0" fontId="18" fillId="5" borderId="0" pivotButton="0" quotePrefix="0" xfId="0"/>
    <xf numFmtId="9" fontId="3" fillId="5" borderId="7" pivotButton="0" quotePrefix="0" xfId="0"/>
    <xf numFmtId="167" fontId="3" fillId="5" borderId="7" pivotButton="0" quotePrefix="0" xfId="0"/>
    <xf numFmtId="0" fontId="3" fillId="5" borderId="8" pivotButton="0" quotePrefix="0" xfId="0"/>
    <xf numFmtId="0" fontId="3" fillId="5" borderId="1" pivotButton="0" quotePrefix="0" xfId="0"/>
    <xf numFmtId="170" fontId="3" fillId="5" borderId="9" pivotButton="0" quotePrefix="0" xfId="0"/>
    <xf numFmtId="170" fontId="7" fillId="0" borderId="9" pivotButton="0" quotePrefix="0" xfId="0"/>
    <xf numFmtId="164" fontId="7" fillId="4" borderId="2" applyAlignment="1" pivotButton="0" quotePrefix="0" xfId="0">
      <alignment horizontal="right"/>
    </xf>
    <xf numFmtId="172" fontId="3" fillId="5" borderId="4" pivotButton="0" quotePrefix="0" xfId="0"/>
    <xf numFmtId="172" fontId="3" fillId="5" borderId="5" pivotButton="0" quotePrefix="0" xfId="0"/>
    <xf numFmtId="0" fontId="3" fillId="5" borderId="4" applyAlignment="1" pivotButton="0" quotePrefix="0" xfId="0">
      <alignment horizontal="center"/>
    </xf>
    <xf numFmtId="0" fontId="3" fillId="5" borderId="5" pivotButton="0" quotePrefix="0" xfId="0"/>
    <xf numFmtId="0" fontId="3" fillId="5" borderId="0" applyAlignment="1" pivotButton="0" quotePrefix="0" xfId="0">
      <alignment horizontal="center"/>
    </xf>
    <xf numFmtId="0" fontId="3" fillId="5" borderId="1" applyAlignment="1" pivotButton="0" quotePrefix="0" xfId="0">
      <alignment horizontal="center"/>
    </xf>
    <xf numFmtId="0" fontId="3" fillId="5" borderId="9" pivotButton="0" quotePrefix="0" xfId="0"/>
    <xf numFmtId="0" fontId="10" fillId="5" borderId="3" pivotButton="0" quotePrefix="0" xfId="0"/>
    <xf numFmtId="0" fontId="3" fillId="5" borderId="6" pivotButton="0" quotePrefix="1" xfId="0"/>
    <xf numFmtId="0" fontId="5" fillId="5" borderId="6" pivotButton="0" quotePrefix="1" xfId="0"/>
    <xf numFmtId="0" fontId="3" fillId="5" borderId="8" pivotButton="0" quotePrefix="1" xfId="0"/>
    <xf numFmtId="173" fontId="3" fillId="0" borderId="0" applyAlignment="1" pivotButton="0" quotePrefix="0" xfId="0">
      <alignment horizontal="center"/>
    </xf>
    <xf numFmtId="173" fontId="12" fillId="0" borderId="0" applyAlignment="1" pivotButton="0" quotePrefix="0" xfId="0">
      <alignment horizontal="center"/>
    </xf>
    <xf numFmtId="0" fontId="19" fillId="0" borderId="0" pivotButton="0" quotePrefix="0" xfId="0"/>
    <xf numFmtId="0" fontId="3" fillId="0" borderId="10" pivotButton="0" quotePrefix="0" xfId="0"/>
    <xf numFmtId="0" fontId="10" fillId="0" borderId="6" pivotButton="0" quotePrefix="0" xfId="0"/>
    <xf numFmtId="0" fontId="10" fillId="0" borderId="0" applyAlignment="1" pivotButton="0" quotePrefix="0" xfId="0">
      <alignment horizontal="right"/>
    </xf>
    <xf numFmtId="0" fontId="10" fillId="0" borderId="7" applyAlignment="1" pivotButton="0" quotePrefix="0" xfId="0">
      <alignment horizontal="right"/>
    </xf>
    <xf numFmtId="169" fontId="20" fillId="0" borderId="0" applyAlignment="1" pivotButton="0" quotePrefix="0" xfId="0">
      <alignment horizontal="right"/>
    </xf>
    <xf numFmtId="166" fontId="3" fillId="0" borderId="11" pivotButton="0" quotePrefix="0" xfId="0"/>
    <xf numFmtId="173" fontId="7" fillId="0" borderId="7" applyAlignment="1" pivotButton="0" quotePrefix="0" xfId="0">
      <alignment horizontal="right"/>
    </xf>
    <xf numFmtId="173" fontId="8" fillId="0" borderId="7" pivotButton="0" quotePrefix="0" xfId="0"/>
    <xf numFmtId="172" fontId="8" fillId="0" borderId="12" pivotButton="0" quotePrefix="0" xfId="0"/>
    <xf numFmtId="173" fontId="8" fillId="0" borderId="12" pivotButton="0" quotePrefix="0" xfId="0"/>
    <xf numFmtId="173" fontId="8" fillId="0" borderId="0" pivotButton="0" quotePrefix="0" xfId="0"/>
    <xf numFmtId="173" fontId="3" fillId="0" borderId="11" pivotButton="0" quotePrefix="0" xfId="0"/>
    <xf numFmtId="9" fontId="5" fillId="5" borderId="0" pivotButton="0" quotePrefix="0" xfId="1"/>
    <xf numFmtId="9" fontId="21" fillId="5" borderId="1" applyAlignment="1" pivotButton="0" quotePrefix="0" xfId="0">
      <alignment horizontal="center"/>
    </xf>
    <xf numFmtId="0" fontId="8" fillId="5" borderId="0" pivotButton="0" quotePrefix="0" xfId="0"/>
    <xf numFmtId="170" fontId="8" fillId="0" borderId="0" pivotButton="0" quotePrefix="0" xfId="0"/>
    <xf numFmtId="0" fontId="3" fillId="0" borderId="0" pivotButton="0" quotePrefix="1" xfId="0"/>
    <xf numFmtId="9" fontId="7" fillId="7" borderId="0" pivotButton="0" quotePrefix="0" xfId="0"/>
    <xf numFmtId="0" fontId="8" fillId="0" borderId="10" pivotButton="0" quotePrefix="0" xfId="0"/>
    <xf numFmtId="0" fontId="14" fillId="0" borderId="11" pivotButton="0" quotePrefix="0" xfId="0"/>
    <xf numFmtId="165" fontId="14" fillId="0" borderId="11" pivotButton="0" quotePrefix="0" xfId="0"/>
    <xf numFmtId="174" fontId="3" fillId="0" borderId="0" pivotButton="0" quotePrefix="0" xfId="0"/>
    <xf numFmtId="165" fontId="3" fillId="0" borderId="0" applyAlignment="1" pivotButton="0" quotePrefix="0" xfId="0">
      <alignment horizontal="center"/>
    </xf>
    <xf numFmtId="0" fontId="8" fillId="0" borderId="0" pivotButton="0" quotePrefix="1" xfId="0"/>
    <xf numFmtId="0" fontId="22" fillId="0" borderId="0" pivotButton="0" quotePrefix="0" xfId="0"/>
    <xf numFmtId="0" fontId="23" fillId="0" borderId="0" pivotButton="0" quotePrefix="0" xfId="0"/>
    <xf numFmtId="0" fontId="23" fillId="0" borderId="0" applyAlignment="1" pivotButton="0" quotePrefix="0" xfId="0">
      <alignment horizontal="center"/>
    </xf>
    <xf numFmtId="0" fontId="22" fillId="0" borderId="0" applyAlignment="1" pivotButton="0" quotePrefix="0" xfId="0">
      <alignment horizontal="left"/>
    </xf>
    <xf numFmtId="9" fontId="22" fillId="0" borderId="0" pivotButton="0" quotePrefix="0" xfId="1"/>
    <xf numFmtId="0" fontId="24" fillId="0" borderId="0" pivotButton="0" quotePrefix="0" xfId="2"/>
    <xf numFmtId="0" fontId="24" fillId="0" borderId="0" applyAlignment="1" pivotButton="0" quotePrefix="0" xfId="2">
      <alignment horizontal="left"/>
    </xf>
    <xf numFmtId="0" fontId="24" fillId="7" borderId="0" pivotButton="0" quotePrefix="0" xfId="2"/>
    <xf numFmtId="0" fontId="18" fillId="8" borderId="2" applyAlignment="1" pivotButton="0" quotePrefix="0" xfId="0">
      <alignment horizontal="center"/>
    </xf>
    <xf numFmtId="0" fontId="15" fillId="7" borderId="0" applyAlignment="1" pivotButton="0" quotePrefix="0" xfId="0">
      <alignment horizontal="left"/>
    </xf>
    <xf numFmtId="175" fontId="10" fillId="5" borderId="0" pivotButton="0" quotePrefix="0" xfId="0"/>
    <xf numFmtId="175" fontId="10" fillId="0" borderId="0" pivotButton="0" quotePrefix="0" xfId="0"/>
    <xf numFmtId="0" fontId="10" fillId="0" borderId="0" applyAlignment="1" pivotButton="0" quotePrefix="0" xfId="0">
      <alignment horizontal="center"/>
    </xf>
    <xf numFmtId="176" fontId="7" fillId="0" borderId="7" applyAlignment="1" pivotButton="0" quotePrefix="0" xfId="0">
      <alignment horizontal="right"/>
    </xf>
    <xf numFmtId="177" fontId="3" fillId="0" borderId="0" pivotButton="0" quotePrefix="0" xfId="0"/>
    <xf numFmtId="178" fontId="3" fillId="0" borderId="0" pivotButton="0" quotePrefix="0" xfId="0"/>
    <xf numFmtId="179" fontId="3" fillId="0" borderId="0" pivotButton="0" quotePrefix="0" xfId="0"/>
    <xf numFmtId="180" fontId="3" fillId="0" borderId="0" pivotButton="0" quotePrefix="0" xfId="0"/>
    <xf numFmtId="172" fontId="3" fillId="0" borderId="5" pivotButton="0" quotePrefix="0" xfId="0"/>
    <xf numFmtId="172" fontId="8" fillId="0" borderId="4" pivotButton="0" quotePrefix="0" xfId="1"/>
    <xf numFmtId="172" fontId="11" fillId="0" borderId="0" pivotButton="0" quotePrefix="0" xfId="1"/>
    <xf numFmtId="172" fontId="8" fillId="0" borderId="0" pivotButton="0" quotePrefix="0" xfId="1"/>
    <xf numFmtId="172" fontId="12" fillId="0" borderId="0" pivotButton="0" quotePrefix="0" xfId="1"/>
    <xf numFmtId="181" fontId="3" fillId="0" borderId="0" applyAlignment="1" pivotButton="0" quotePrefix="0" xfId="0">
      <alignment horizontal="center"/>
    </xf>
    <xf numFmtId="172" fontId="7" fillId="5" borderId="0" pivotButton="0" quotePrefix="0" xfId="0"/>
    <xf numFmtId="178" fontId="5" fillId="5" borderId="0" pivotButton="0" quotePrefix="0" xfId="0"/>
    <xf numFmtId="172" fontId="12" fillId="7" borderId="0" pivotButton="0" quotePrefix="0" xfId="0"/>
    <xf numFmtId="178" fontId="5" fillId="0" borderId="0" pivotButton="0" quotePrefix="0" xfId="0"/>
    <xf numFmtId="164" fontId="3" fillId="0" borderId="0" pivotButton="0" quotePrefix="0" xfId="0"/>
    <xf numFmtId="0" fontId="25" fillId="0" borderId="0" pivotButton="0" quotePrefix="0" xfId="0"/>
    <xf numFmtId="174" fontId="23" fillId="0" borderId="0" pivotButton="0" quotePrefix="0" xfId="0"/>
    <xf numFmtId="165" fontId="3" fillId="0" borderId="0" applyAlignment="1" pivotButton="0" quotePrefix="0" xfId="0">
      <alignment horizontal="right"/>
    </xf>
    <xf numFmtId="9" fontId="3" fillId="0" borderId="0" applyAlignment="1" pivotButton="0" quotePrefix="0" xfId="0">
      <alignment horizontal="right"/>
    </xf>
    <xf numFmtId="165" fontId="3" fillId="0" borderId="4" applyAlignment="1" pivotButton="0" quotePrefix="0" xfId="0">
      <alignment horizontal="right"/>
    </xf>
    <xf numFmtId="178" fontId="3" fillId="0" borderId="4" applyAlignment="1" pivotButton="0" quotePrefix="0" xfId="0">
      <alignment horizontal="right"/>
    </xf>
    <xf numFmtId="0" fontId="6" fillId="0" borderId="0" applyAlignment="1" pivotButton="0" quotePrefix="0" xfId="0">
      <alignment horizontal="right"/>
    </xf>
    <xf numFmtId="182" fontId="3" fillId="0" borderId="0" applyAlignment="1" pivotButton="0" quotePrefix="0" xfId="0">
      <alignment horizontal="center"/>
    </xf>
    <xf numFmtId="178" fontId="11" fillId="0" borderId="0" pivotButton="0" quotePrefix="0" xfId="0"/>
    <xf numFmtId="0" fontId="9" fillId="3" borderId="0" applyAlignment="1" pivotButton="0" quotePrefix="0" xfId="0">
      <alignment horizontal="center"/>
    </xf>
    <xf numFmtId="166" fontId="7" fillId="0" borderId="7" applyAlignment="1" pivotButton="0" quotePrefix="0" xfId="0">
      <alignment horizontal="right"/>
    </xf>
    <xf numFmtId="166" fontId="8" fillId="0" borderId="0" pivotButton="0" quotePrefix="0" xfId="0"/>
    <xf numFmtId="172" fontId="3" fillId="0" borderId="5" pivotButton="0" quotePrefix="0" xfId="0"/>
    <xf numFmtId="165" fontId="8" fillId="0" borderId="0" pivotButton="0" quotePrefix="0" xfId="0"/>
    <xf numFmtId="176" fontId="7" fillId="0" borderId="7" applyAlignment="1" pivotButton="0" quotePrefix="0" xfId="0">
      <alignment horizontal="right"/>
    </xf>
    <xf numFmtId="169" fontId="8" fillId="0" borderId="0" pivotButton="0" quotePrefix="0" xfId="0"/>
    <xf numFmtId="168" fontId="8" fillId="0" borderId="0" pivotButton="0" quotePrefix="0" xfId="0"/>
    <xf numFmtId="169" fontId="20" fillId="0" borderId="0" applyAlignment="1" pivotButton="0" quotePrefix="0" xfId="0">
      <alignment horizontal="right"/>
    </xf>
    <xf numFmtId="164" fontId="7" fillId="0" borderId="7" applyAlignment="1" pivotButton="0" quotePrefix="0" xfId="0">
      <alignment horizontal="right"/>
    </xf>
    <xf numFmtId="172" fontId="8" fillId="0" borderId="0" pivotButton="0" quotePrefix="0" xfId="0"/>
    <xf numFmtId="173" fontId="8" fillId="0" borderId="0" pivotButton="0" quotePrefix="0" xfId="0"/>
    <xf numFmtId="173" fontId="8" fillId="0" borderId="7" pivotButton="0" quotePrefix="0" xfId="0"/>
    <xf numFmtId="166" fontId="3" fillId="0" borderId="11" pivotButton="0" quotePrefix="0" xfId="0"/>
    <xf numFmtId="173" fontId="3" fillId="0" borderId="11" pivotButton="0" quotePrefix="0" xfId="0"/>
    <xf numFmtId="173" fontId="8" fillId="0" borderId="12" pivotButton="0" quotePrefix="0" xfId="0"/>
    <xf numFmtId="165" fontId="7" fillId="4" borderId="2" applyAlignment="1" pivotButton="0" quotePrefix="0" xfId="0">
      <alignment horizontal="right"/>
    </xf>
    <xf numFmtId="166" fontId="3" fillId="7" borderId="11" pivotButton="0" quotePrefix="0" xfId="0"/>
    <xf numFmtId="173" fontId="7" fillId="0" borderId="7" applyAlignment="1" pivotButton="0" quotePrefix="0" xfId="0">
      <alignment horizontal="right"/>
    </xf>
    <xf numFmtId="170" fontId="7" fillId="0" borderId="7" pivotButton="0" quotePrefix="0" xfId="0"/>
    <xf numFmtId="170" fontId="7" fillId="0" borderId="9" pivotButton="0" quotePrefix="0" xfId="0"/>
    <xf numFmtId="175" fontId="10" fillId="5" borderId="0" pivotButton="0" quotePrefix="0" xfId="0"/>
    <xf numFmtId="175" fontId="10" fillId="0" borderId="0" pivotButton="0" quotePrefix="0" xfId="0"/>
    <xf numFmtId="172" fontId="7" fillId="5" borderId="0" pivotButton="0" quotePrefix="0" xfId="0"/>
    <xf numFmtId="172" fontId="12" fillId="7" borderId="0" pivotButton="0" quotePrefix="0" xfId="0"/>
    <xf numFmtId="173" fontId="3" fillId="0" borderId="0" applyAlignment="1" pivotButton="0" quotePrefix="0" xfId="0">
      <alignment horizontal="center"/>
    </xf>
    <xf numFmtId="178" fontId="5" fillId="5" borderId="0" pivotButton="0" quotePrefix="0" xfId="0"/>
    <xf numFmtId="178" fontId="11" fillId="0" borderId="0" pivotButton="0" quotePrefix="0" xfId="0"/>
    <xf numFmtId="178" fontId="5" fillId="0" borderId="0" pivotButton="0" quotePrefix="0" xfId="0"/>
    <xf numFmtId="166" fontId="7" fillId="5" borderId="0" pivotButton="0" quotePrefix="0" xfId="0"/>
    <xf numFmtId="166" fontId="3" fillId="0" borderId="0" pivotButton="0" quotePrefix="0" xfId="0"/>
    <xf numFmtId="173" fontId="12" fillId="0" borderId="0" applyAlignment="1" pivotButton="0" quotePrefix="0" xfId="0">
      <alignment horizontal="center"/>
    </xf>
    <xf numFmtId="166" fontId="12" fillId="0" borderId="0" pivotButton="0" quotePrefix="0" xfId="1"/>
    <xf numFmtId="165" fontId="8" fillId="0" borderId="0" pivotButton="0" quotePrefix="0" xfId="1"/>
    <xf numFmtId="166" fontId="8" fillId="0" borderId="4" pivotButton="0" quotePrefix="0" xfId="1"/>
    <xf numFmtId="170" fontId="8" fillId="0" borderId="0" pivotButton="0" quotePrefix="0" xfId="1"/>
    <xf numFmtId="165" fontId="3" fillId="0" borderId="0" pivotButton="0" quotePrefix="0" xfId="0"/>
    <xf numFmtId="170" fontId="3" fillId="0" borderId="4" pivotButton="0" quotePrefix="0" xfId="0"/>
    <xf numFmtId="170" fontId="3" fillId="0" borderId="0" pivotButton="0" quotePrefix="0" xfId="0"/>
    <xf numFmtId="171" fontId="3" fillId="0" borderId="0" pivotButton="0" quotePrefix="0" xfId="0"/>
    <xf numFmtId="170" fontId="12" fillId="0" borderId="0" pivotButton="0" quotePrefix="0" xfId="0"/>
    <xf numFmtId="170" fontId="8" fillId="0" borderId="0" pivotButton="0" quotePrefix="0" xfId="0"/>
    <xf numFmtId="165" fontId="14" fillId="0" borderId="0" pivotButton="0" quotePrefix="0" xfId="0"/>
    <xf numFmtId="172" fontId="3" fillId="0" borderId="0" pivotButton="0" quotePrefix="0" xfId="0"/>
    <xf numFmtId="165" fontId="12" fillId="0" borderId="0" pivotButton="0" quotePrefix="0" xfId="0"/>
    <xf numFmtId="164" fontId="3" fillId="0" borderId="0" pivotButton="0" quotePrefix="0" xfId="0"/>
    <xf numFmtId="164" fontId="3" fillId="0" borderId="0" applyAlignment="1" pivotButton="0" quotePrefix="0" xfId="0">
      <alignment horizontal="right"/>
    </xf>
    <xf numFmtId="170" fontId="7" fillId="4" borderId="2" pivotButton="0" quotePrefix="0" xfId="0"/>
    <xf numFmtId="164" fontId="7" fillId="4" borderId="2" applyAlignment="1" pivotButton="0" quotePrefix="0" xfId="0">
      <alignment horizontal="right"/>
    </xf>
    <xf numFmtId="165" fontId="3" fillId="0" borderId="0" applyAlignment="1" pivotButton="0" quotePrefix="0" xfId="0">
      <alignment horizontal="right"/>
    </xf>
    <xf numFmtId="173" fontId="3" fillId="0" borderId="0" pivotButton="0" quotePrefix="0" xfId="0"/>
    <xf numFmtId="165" fontId="3" fillId="0" borderId="4" applyAlignment="1" pivotButton="0" quotePrefix="0" xfId="0">
      <alignment horizontal="right"/>
    </xf>
    <xf numFmtId="178" fontId="3" fillId="0" borderId="4" applyAlignment="1" pivotButton="0" quotePrefix="0" xfId="0">
      <alignment horizontal="right"/>
    </xf>
    <xf numFmtId="180" fontId="3" fillId="0" borderId="0" pivotButton="0" quotePrefix="0" xfId="0"/>
    <xf numFmtId="174" fontId="3" fillId="0" borderId="0" pivotButton="0" quotePrefix="0" xfId="0"/>
    <xf numFmtId="174" fontId="23" fillId="0" borderId="0" pivotButton="0" quotePrefix="0" xfId="0"/>
    <xf numFmtId="182" fontId="3" fillId="0" borderId="0" applyAlignment="1" pivotButton="0" quotePrefix="0" xfId="0">
      <alignment horizontal="center"/>
    </xf>
    <xf numFmtId="178" fontId="3" fillId="0" borderId="0" pivotButton="0" quotePrefix="0" xfId="0"/>
    <xf numFmtId="170" fontId="3" fillId="0" borderId="7" pivotButton="0" quotePrefix="0" xfId="0"/>
    <xf numFmtId="164" fontId="3" fillId="0" borderId="7" pivotButton="0" quotePrefix="0" xfId="0"/>
    <xf numFmtId="179" fontId="3" fillId="0" borderId="0" pivotButton="0" quotePrefix="0" xfId="0"/>
    <xf numFmtId="165" fontId="14" fillId="0" borderId="11" pivotButton="0" quotePrefix="0" xfId="0"/>
    <xf numFmtId="172" fontId="8" fillId="0" borderId="12" pivotButton="0" quotePrefix="0" xfId="0"/>
    <xf numFmtId="165" fontId="3" fillId="5" borderId="4" pivotButton="0" quotePrefix="0" xfId="0"/>
    <xf numFmtId="172" fontId="3" fillId="5" borderId="4" pivotButton="0" quotePrefix="0" xfId="0"/>
    <xf numFmtId="172" fontId="3" fillId="5" borderId="5" pivotButton="0" quotePrefix="0" xfId="0"/>
    <xf numFmtId="170" fontId="3" fillId="5" borderId="9" pivotButton="0" quotePrefix="0" xfId="0"/>
    <xf numFmtId="181" fontId="3" fillId="0" borderId="0" applyAlignment="1" pivotButton="0" quotePrefix="0" xfId="0">
      <alignment horizontal="center"/>
    </xf>
    <xf numFmtId="172" fontId="12" fillId="0" borderId="0" pivotButton="0" quotePrefix="0" xfId="1"/>
    <xf numFmtId="172" fontId="8" fillId="0" borderId="0" pivotButton="0" quotePrefix="0" xfId="1"/>
    <xf numFmtId="172" fontId="8" fillId="0" borderId="4" pivotButton="0" quotePrefix="0" xfId="1"/>
    <xf numFmtId="172" fontId="11" fillId="0" borderId="0" pivotButton="0" quotePrefix="0" xfId="1"/>
    <xf numFmtId="165" fontId="3" fillId="0" borderId="0" applyAlignment="1" pivotButton="0" quotePrefix="0" xfId="0">
      <alignment horizontal="center"/>
    </xf>
    <xf numFmtId="177" fontId="3" fillId="0" borderId="0" pivotButton="0" quotePrefix="0" xfId="0"/>
  </cellXfs>
  <cellStyles count="3">
    <cellStyle name="Normal" xfId="0" builtinId="0"/>
    <cellStyle name="Percent" xfId="1" builtinId="5"/>
    <cellStyle name="Hyperlink" xfId="2" builtinId="8"/>
  </cellStyles>
  <dxfs count="6">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2.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3.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sheet1.xml><?xml version="1.0" encoding="utf-8"?>
<worksheet xmlns="http://schemas.openxmlformats.org/spreadsheetml/2006/main">
  <sheetPr>
    <outlinePr summaryBelow="1" summaryRight="1"/>
    <pageSetUpPr/>
  </sheetPr>
  <dimension ref="A1:XFD149"/>
  <sheetViews>
    <sheetView showGridLines="0" zoomScale="140" zoomScaleNormal="14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21"/>
    <col width="8.6640625" customWidth="1" style="18" min="22" max="16384"/>
  </cols>
  <sheetData>
    <row r="1">
      <c r="A1" s="18" t="n"/>
    </row>
    <row r="2" ht="25" customHeight="1">
      <c r="A2" s="6" t="inlineStr">
        <is>
          <t>x</t>
        </is>
      </c>
      <c r="B2" s="27" t="inlineStr">
        <is>
          <t>G&amp;B Model — Specialty Insurance Brokerage (Fine Art &amp; Specie)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6450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t="n">
        <v>1075</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46387</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2.5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500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0</v>
      </c>
    </row>
    <row r="28">
      <c r="B28" s="182" t="inlineStr">
        <is>
          <t>Summary Financials</t>
        </is>
      </c>
      <c r="L28" s="19" t="inlineStr">
        <is>
          <t>Y1 Revenue Threshold</t>
        </is>
      </c>
      <c r="M28" s="52" t="n"/>
      <c r="N28" s="202" t="n">
        <v>2000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2684</v>
      </c>
      <c r="D34" s="205" t="n">
        <v>3720</v>
      </c>
      <c r="E34" s="205" t="n">
        <v>4750</v>
      </c>
      <c r="F34" s="206">
        <f>E34*(1+F35)</f>
        <v/>
      </c>
      <c r="G34" s="206">
        <f>F34*(1+G35)</f>
        <v/>
      </c>
      <c r="H34" s="206">
        <f>G34*(1+H35)</f>
        <v/>
      </c>
      <c r="I34" s="206">
        <f>H34*(1+I35)</f>
        <v/>
      </c>
      <c r="J34" s="206">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0.2289473684210526</v>
      </c>
      <c r="G35" s="209" t="n">
        <v>0.2671306209850106</v>
      </c>
      <c r="H35" s="209" t="n">
        <v>0.2901563160118292</v>
      </c>
      <c r="I35" s="209" t="n">
        <v>0.307629838234331</v>
      </c>
      <c r="J35" s="209" t="n">
        <v>0.3118125632318618</v>
      </c>
      <c r="L35" s="156" t="n"/>
    </row>
    <row r="36">
      <c r="C36" s="203" t="n"/>
      <c r="D36" s="208" t="n"/>
      <c r="E36" s="208" t="n"/>
      <c r="F36" s="210" t="n"/>
      <c r="G36" s="210" t="n"/>
      <c r="H36" s="210" t="n"/>
      <c r="I36" s="210" t="n"/>
      <c r="J36" s="210" t="n"/>
      <c r="L36" s="156" t="n"/>
    </row>
    <row r="37">
      <c r="B37" s="18" t="inlineStr">
        <is>
          <t>GAAP Revenue</t>
        </is>
      </c>
      <c r="C37" s="211" t="n">
        <v>1100</v>
      </c>
      <c r="D37" s="211" t="n">
        <v>1300</v>
      </c>
      <c r="E37" s="211" t="n">
        <v>1500</v>
      </c>
      <c r="F37" s="212" t="n">
        <v>1650</v>
      </c>
      <c r="G37" s="212" t="n">
        <v>2100</v>
      </c>
      <c r="H37" s="212" t="n">
        <v>2800</v>
      </c>
      <c r="I37" s="212" t="n">
        <v>3500</v>
      </c>
      <c r="J37" s="212" t="n">
        <v>4200</v>
      </c>
      <c r="L37" s="207">
        <f>_xlfn.RRI(2,C37,E37)</f>
        <v/>
      </c>
      <c r="O37" s="144" t="inlineStr">
        <is>
          <t>*It is difficult to accelerate the growth of a business that is not already consistently growing at a solid pace.</t>
        </is>
      </c>
    </row>
    <row r="38" ht="10" customHeight="1">
      <c r="B38" s="21" t="inlineStr">
        <is>
          <t>Growth</t>
        </is>
      </c>
      <c r="C38" s="58" t="n"/>
      <c r="D38" s="132" t="n">
        <v>0.182</v>
      </c>
      <c r="E38" s="132" t="n">
        <v>0.154</v>
      </c>
      <c r="F38" s="60" t="n">
        <v>0.1</v>
      </c>
      <c r="G38" s="60" t="n">
        <v>0.273</v>
      </c>
      <c r="H38" s="60" t="n">
        <v>0.333</v>
      </c>
      <c r="I38" s="60" t="n">
        <v>0.25</v>
      </c>
      <c r="J38" s="60" t="n">
        <v>0.2</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600</v>
      </c>
      <c r="D40" s="211" t="n">
        <v>750</v>
      </c>
      <c r="E40" s="211" t="n">
        <v>1075</v>
      </c>
      <c r="F40" s="212" t="n">
        <v>800</v>
      </c>
      <c r="G40" s="212" t="n">
        <v>1050</v>
      </c>
      <c r="H40" s="212" t="n">
        <v>1400</v>
      </c>
      <c r="I40" s="212" t="n">
        <v>1750</v>
      </c>
      <c r="J40" s="212" t="n">
        <v>2100</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t="n">
        <v>0.545</v>
      </c>
      <c r="D41" s="132" t="n">
        <v>0.577</v>
      </c>
      <c r="E41" s="132" t="n">
        <v>0.717</v>
      </c>
      <c r="F41" s="60" t="n">
        <v>0.485</v>
      </c>
      <c r="G41" s="60" t="n">
        <v>0.5</v>
      </c>
      <c r="H41" s="60" t="n">
        <v>0.5</v>
      </c>
      <c r="I41" s="60" t="n">
        <v>0.5</v>
      </c>
      <c r="J41" s="60" t="n">
        <v>0.5</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0.005</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16">
        <f>F45+F47</f>
        <v/>
      </c>
      <c r="G48" s="216">
        <f>G45+G47</f>
        <v/>
      </c>
      <c r="H48" s="216">
        <f>H45+H47</f>
        <v/>
      </c>
      <c r="I48" s="216">
        <f>I45+I47</f>
        <v/>
      </c>
      <c r="J48" s="216">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17">
        <f>-$E$50*F48</f>
        <v/>
      </c>
      <c r="G50" s="217">
        <f>-$E$50*G48</f>
        <v/>
      </c>
      <c r="H50" s="217">
        <f>-$E$50*H48</f>
        <v/>
      </c>
      <c r="I50" s="217">
        <f>-$E$50*I48</f>
        <v/>
      </c>
      <c r="J50" s="217">
        <f>-$E$50*J48</f>
        <v/>
      </c>
      <c r="N50" s="21" t="n"/>
      <c r="O50" s="145" t="n"/>
      <c r="P50" s="75" t="n"/>
      <c r="Q50" s="75" t="n"/>
      <c r="R50" s="75" t="n"/>
      <c r="S50" s="75" t="n"/>
      <c r="T50" s="75" t="n"/>
      <c r="U50" s="75" t="n"/>
      <c r="XFD50" s="60" t="n"/>
    </row>
    <row r="51">
      <c r="B51" s="65" t="inlineStr">
        <is>
          <t>Net Income</t>
        </is>
      </c>
      <c r="C51" s="66" t="n"/>
      <c r="D51" s="66" t="n"/>
      <c r="E51" s="132" t="n"/>
      <c r="F51" s="216">
        <f>F48+F50</f>
        <v/>
      </c>
      <c r="G51" s="216">
        <f>G48+G50</f>
        <v/>
      </c>
      <c r="H51" s="216">
        <f>H48+H50</f>
        <v/>
      </c>
      <c r="I51" s="216">
        <f>I48+I50</f>
        <v/>
      </c>
      <c r="J51" s="216">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12">
        <f>F51</f>
        <v/>
      </c>
      <c r="G55" s="212">
        <f>G51</f>
        <v/>
      </c>
      <c r="H55" s="212">
        <f>H51</f>
        <v/>
      </c>
      <c r="I55" s="212">
        <f>I51</f>
        <v/>
      </c>
      <c r="J55" s="212">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0.005</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0.09</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0.07000000000000001</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550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N112" s="86" t="n"/>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L114" s="90" t="n"/>
      <c r="O114" s="145" t="n"/>
    </row>
    <row r="115">
      <c r="O115" s="145" t="n"/>
    </row>
    <row r="116">
      <c r="B116" s="76" t="inlineStr">
        <is>
          <t>Preferred Equity</t>
        </is>
      </c>
      <c r="M116" s="235" t="n"/>
      <c r="O116" s="145" t="n"/>
    </row>
    <row r="117">
      <c r="B117" s="18" t="inlineStr">
        <is>
          <t>Beginning Balance</t>
        </is>
      </c>
      <c r="F117" s="220">
        <f>C23+(H105*H104)</f>
        <v/>
      </c>
      <c r="G117" s="220">
        <f>F120</f>
        <v/>
      </c>
      <c r="H117" s="220">
        <f>G120</f>
        <v/>
      </c>
      <c r="I117" s="220">
        <f>H120</f>
        <v/>
      </c>
      <c r="J117" s="220">
        <f>I120</f>
        <v/>
      </c>
      <c r="M117" s="220" t="n"/>
      <c r="N117" s="236" t="n"/>
      <c r="O117" s="237" t="n"/>
    </row>
    <row r="118" ht="10" customHeight="1">
      <c r="B118" s="18" t="inlineStr">
        <is>
          <t>(+) Preferred Return</t>
        </is>
      </c>
      <c r="D118" s="83" t="n">
        <v>0.08</v>
      </c>
      <c r="F118" s="226">
        <f>F117*$D$118</f>
        <v/>
      </c>
      <c r="G118" s="218">
        <f>G117*$D$118</f>
        <v/>
      </c>
      <c r="H118" s="218">
        <f>H117*$D$118</f>
        <v/>
      </c>
      <c r="I118" s="218">
        <f>I117*$D$118</f>
        <v/>
      </c>
      <c r="J118" s="218">
        <f>J117*$D$118</f>
        <v/>
      </c>
      <c r="L118" s="238" t="n"/>
      <c r="M118" s="239"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3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2" dxfId="0">
      <formula>$N$16="EBITDA"</formula>
    </cfRule>
  </conditionalFormatting>
  <conditionalFormatting sqref="F38:J38">
    <cfRule type="expression" priority="1" dxfId="0">
      <formula>$N$16="ARR"</formula>
    </cfRule>
  </conditionalFormatting>
  <dataValidations count="3">
    <dataValidation sqref="H102 N23 N26 N132" showDropDown="0" showInputMessage="1" showErrorMessage="1" allowBlank="1" type="list">
      <formula1>"0,1"</formula1>
    </dataValidation>
    <dataValidation sqref="N16" showDropDown="0" showInputMessage="1" showErrorMessage="1" allowBlank="1" type="list">
      <formula1>"EBITDA, ARR"</formula1>
    </dataValidation>
    <dataValidation sqref="N24" showDropDown="0" showInputMessage="1" showErrorMessage="1" allowBlank="1" type="list">
      <formula1>"LLC, C-corp"</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2.xml><?xml version="1.0" encoding="utf-8"?>
<worksheet xmlns="http://schemas.openxmlformats.org/spreadsheetml/2006/main">
  <sheetPr>
    <outlinePr summaryBelow="1" summaryRight="1"/>
    <pageSetUpPr/>
  </sheetPr>
  <dimension ref="A1:XFD149"/>
  <sheetViews>
    <sheetView showGridLines="0" zoomScaleNormal="10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15000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ARR</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0.5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350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5000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2138</v>
      </c>
      <c r="D34" s="205" t="n">
        <v>3392</v>
      </c>
      <c r="E34" s="205" t="n">
        <v>5078</v>
      </c>
      <c r="F34" s="206">
        <f>E34*(1+F35)</f>
        <v/>
      </c>
      <c r="G34" s="206">
        <f>F34*(1+G35)</f>
        <v/>
      </c>
      <c r="H34" s="206">
        <f>G34*(1+H35)</f>
        <v/>
      </c>
      <c r="I34" s="206">
        <f>H34*(1+I35)</f>
        <v/>
      </c>
      <c r="J34" s="206">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0.4185703032690036</v>
      </c>
      <c r="G35" s="209" t="n">
        <v>0.386909141389602</v>
      </c>
      <c r="H35" s="209" t="n">
        <v>0.354</v>
      </c>
      <c r="I35" s="209" t="n">
        <v>0.3395541079411197</v>
      </c>
      <c r="J35" s="209" t="n">
        <v>0.2879373541046848</v>
      </c>
      <c r="L35" s="156" t="n"/>
    </row>
    <row r="36">
      <c r="C36" s="203" t="n"/>
      <c r="D36" s="208" t="n"/>
      <c r="E36" s="208" t="n"/>
      <c r="F36" s="210" t="n"/>
      <c r="G36" s="210" t="n"/>
      <c r="H36" s="210" t="n"/>
      <c r="I36" s="210" t="n"/>
      <c r="J36" s="210" t="n"/>
      <c r="L36" s="156" t="n"/>
    </row>
    <row r="37">
      <c r="B37" s="18" t="inlineStr">
        <is>
          <t>GAAP Revenue</t>
        </is>
      </c>
      <c r="C37" s="211" t="n">
        <v>1657</v>
      </c>
      <c r="D37" s="211" t="n">
        <v>2765</v>
      </c>
      <c r="E37" s="211" t="n">
        <v>4235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0.45</v>
      </c>
      <c r="G38" s="60" t="n">
        <v>0.4</v>
      </c>
      <c r="H38" s="60" t="n">
        <v>0.36</v>
      </c>
      <c r="I38" s="60" t="n">
        <v>0.34</v>
      </c>
      <c r="J38" s="60" t="n">
        <v>0.31</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-34</v>
      </c>
      <c r="D40" s="211" t="n">
        <v>105</v>
      </c>
      <c r="E40" s="211" t="n">
        <v>405</v>
      </c>
      <c r="F40" s="212">
        <f>F41*F37</f>
        <v/>
      </c>
      <c r="G40" s="212">
        <f>G41*G37</f>
        <v/>
      </c>
      <c r="H40" s="212">
        <f>H41*H37</f>
        <v/>
      </c>
      <c r="I40" s="212">
        <f>I41*I37</f>
        <v/>
      </c>
      <c r="J40" s="212">
        <f>J41*J37</f>
        <v/>
      </c>
      <c r="L40" s="207">
        <f>IFERROR(_xlfn.RRI(2,C40,E40),"N/A")</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0.03</v>
      </c>
      <c r="G41" s="60" t="n">
        <v>0.05</v>
      </c>
      <c r="H41" s="60" t="n">
        <v>0.114</v>
      </c>
      <c r="I41" s="60" t="n">
        <v>0.12</v>
      </c>
      <c r="J41" s="60" t="n">
        <v>0.14</v>
      </c>
      <c r="L41" s="249" t="n"/>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50">
        <f>F40</f>
        <v/>
      </c>
      <c r="G43" s="250">
        <f>G40</f>
        <v/>
      </c>
      <c r="H43" s="250">
        <f>H40</f>
        <v/>
      </c>
      <c r="I43" s="250">
        <f>I40</f>
        <v/>
      </c>
      <c r="J43" s="250">
        <f>J40</f>
        <v/>
      </c>
      <c r="XFD43" s="60" t="n"/>
    </row>
    <row r="44">
      <c r="B44" s="18" t="inlineStr">
        <is>
          <t>Depreciation</t>
        </is>
      </c>
      <c r="C44" s="132" t="n"/>
      <c r="D44" s="132" t="n"/>
      <c r="E44" s="132" t="n"/>
      <c r="F44" s="251">
        <f>-($L$44*F37)</f>
        <v/>
      </c>
      <c r="G44" s="251">
        <f>-($L$44*G37)</f>
        <v/>
      </c>
      <c r="H44" s="251">
        <f>-($L$44*H37)</f>
        <v/>
      </c>
      <c r="I44" s="251">
        <f>-($L$44*I37)</f>
        <v/>
      </c>
      <c r="J44" s="251">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52">
        <f>SUM(F43:F44)</f>
        <v/>
      </c>
      <c r="G45" s="252">
        <f>SUM(G43:G44)</f>
        <v/>
      </c>
      <c r="H45" s="252">
        <f>SUM(H43:H44)</f>
        <v/>
      </c>
      <c r="I45" s="252">
        <f>SUM(I43:I44)</f>
        <v/>
      </c>
      <c r="J45" s="252">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253" t="n"/>
      <c r="G49" s="253" t="n"/>
      <c r="H49" s="253" t="n"/>
      <c r="I49" s="253" t="n"/>
      <c r="J49" s="253"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M51" s="212" t="n"/>
      <c r="N51" s="212"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0.14</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0.3333333333333334</v>
      </c>
      <c r="I82" s="80" t="n">
        <v>0.3333333333333334</v>
      </c>
      <c r="J82" s="80" t="n">
        <v>0.3333333333333334</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2" dxfId="0">
      <formula>$N$16="EBITDA"</formula>
    </cfRule>
  </conditionalFormatting>
  <conditionalFormatting sqref="F38:J38">
    <cfRule type="expression" priority="1" dxfId="0">
      <formula>$N$16="ARR"</formula>
    </cfRule>
  </conditionalFormatting>
  <dataValidations count="3">
    <dataValidation sqref="N24" showDropDown="0" showInputMessage="1" showErrorMessage="1" allowBlank="1" type="list">
      <formula1>"LLC, C-corp"</formula1>
    </dataValidation>
    <dataValidation sqref="N16" showDropDown="0" showInputMessage="1" showErrorMessage="1" allowBlank="1" type="list">
      <formula1>"EBITDA, ARR"</formula1>
    </dataValidation>
    <dataValidation sqref="H102 N23 N26 N132" showDropDown="0" showInputMessage="1" showErrorMessage="1" allowBlank="1" type="list">
      <formula1>"0,1"</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3.xml><?xml version="1.0" encoding="utf-8"?>
<worksheet xmlns="http://schemas.openxmlformats.org/spreadsheetml/2006/main">
  <sheetPr>
    <outlinePr summaryBelow="1" summaryRight="1"/>
    <pageSetUpPr/>
  </sheetPr>
  <dimension ref="A1:XFD149"/>
  <sheetViews>
    <sheetView showGridLines="0" tabSelected="1" zoomScale="120" zoomScaleNormal="12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E40*8</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3</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1500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6000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8000</v>
      </c>
      <c r="D37" s="211" t="n">
        <v>9000</v>
      </c>
      <c r="E37" s="211" t="n">
        <v>10000</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0.05</v>
      </c>
      <c r="G38" s="60" t="n">
        <v>0.2</v>
      </c>
      <c r="H38" s="60" t="n">
        <v>0.2</v>
      </c>
      <c r="I38" s="60" t="n">
        <v>0.2</v>
      </c>
      <c r="J38" s="60" t="n">
        <v>0.2</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1800</v>
      </c>
      <c r="D40" s="211" t="n">
        <v>1900</v>
      </c>
      <c r="E40" s="211" t="n">
        <v>2000</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0.2</v>
      </c>
      <c r="G41" s="60" t="n">
        <v>0.25</v>
      </c>
      <c r="H41" s="60" t="n">
        <v>0.25</v>
      </c>
      <c r="I41" s="60" t="n">
        <v>0.3</v>
      </c>
      <c r="J41" s="60" t="n">
        <v>0.33</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8</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3" dxfId="0">
      <formula>$N$16="EBITDA"</formula>
    </cfRule>
  </conditionalFormatting>
  <conditionalFormatting sqref="F38:J38">
    <cfRule type="expression" priority="1" dxfId="0">
      <formula>$N$16="ARR"</formula>
    </cfRule>
  </conditionalFormatting>
  <dataValidations count="3">
    <dataValidation sqref="N24" showDropDown="0" showInputMessage="1" showErrorMessage="1" allowBlank="1" type="list">
      <formula1>"LLC, C-corp"</formula1>
    </dataValidation>
    <dataValidation sqref="N16" showDropDown="0" showInputMessage="1" showErrorMessage="1" allowBlank="1" type="list">
      <formula1>"EBITDA, ARR"</formula1>
    </dataValidation>
    <dataValidation sqref="H102 N23 N26 N132" showDropDown="0" showInputMessage="1" showErrorMessage="1" allowBlank="1" type="list">
      <formula1>"0,1"</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Melissa Kaplan</dc:creator>
  <dcterms:created xmlns:dcterms="http://purl.org/dc/terms/" xmlns:xsi="http://www.w3.org/2001/XMLSchema-instance" xsi:type="dcterms:W3CDTF">2025-09-10T17:47:06Z</dcterms:created>
  <dcterms:modified xmlns:dcterms="http://purl.org/dc/terms/" xmlns:xsi="http://www.w3.org/2001/XMLSchema-instance" xsi:type="dcterms:W3CDTF">2026-04-10T05:13:52Z</dcterms:modified>
  <cp:lastModifiedBy>K Sch</cp:lastModifiedBy>
</cp:coreProperties>
</file>