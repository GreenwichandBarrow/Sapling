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0" yWindow="760" windowWidth="27640" windowHeight="16900" tabRatio="600" firstSheet="0" activeTab="0" autoFilterDateGrouping="1"/>
  </bookViews>
  <sheets>
    <sheet xmlns:r="http://schemas.openxmlformats.org/officeDocument/2006/relationships" name="INITIAL SCREEN" sheetId="1" state="visible" r:id="rId1"/>
    <sheet xmlns:r="http://schemas.openxmlformats.org/officeDocument/2006/relationships" name="Industry Scorecard" sheetId="2" state="visible" r:id="rId2"/>
  </sheets>
  <definedNames>
    <definedName name="_bdm.8018492968a5442495f20d90ab0edcf5.edm" hidden="1">#REF!</definedName>
    <definedName name="_bdm.FastTrackBookmark.10_31_2020_1_08_13_PM.edm" hidden="1">#REF!</definedName>
    <definedName name="_bdm.8018492968a5442495f20d90ab0edcf5.edm" localSheetId="1" hidden="1">TEMPLATE!$1:$1048576</definedName>
    <definedName name="_bdm.f13a6b620fec4e82afc4fa1e28cf992f.edm" localSheetId="1" hidden="1">TEMPLATE!#REF!</definedName>
    <definedName name="_bdm.FastTrackBookmark.10_31_2020_1_08_13_PM.edm" localSheetId="1" hidden="1">TEMPLATE!$C$8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theme="0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0000FF"/>
      <sz val="10"/>
    </font>
    <font>
      <name val="Calibri"/>
      <family val="2"/>
      <i val="1"/>
      <color theme="1"/>
      <sz val="8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rgb="FF000000"/>
      </right>
      <top/>
      <bottom style="thin">
        <color indexed="64"/>
      </bottom>
      <diagonal/>
    </border>
  </borders>
  <cellStyleXfs count="4">
    <xf numFmtId="0" fontId="1" fillId="0" borderId="0"/>
    <xf numFmtId="9" fontId="1" fillId="0" borderId="0"/>
    <xf numFmtId="0" fontId="2" fillId="0" borderId="0"/>
    <xf numFmtId="9" fontId="1" fillId="0" borderId="0"/>
  </cellStyleXfs>
  <cellXfs count="63">
    <xf numFmtId="0" fontId="0" fillId="0" borderId="0" pivotButton="0" quotePrefix="0" xfId="0"/>
    <xf numFmtId="9" fontId="2" fillId="0" borderId="0" applyAlignment="1" pivotButton="0" quotePrefix="0" xfId="1">
      <alignment horizontal="center" vertical="top"/>
    </xf>
    <xf numFmtId="0" fontId="2" fillId="0" borderId="0" pivotButton="0" quotePrefix="0" xfId="2"/>
    <xf numFmtId="9" fontId="2" fillId="0" borderId="0" pivotButton="0" quotePrefix="0" xfId="2"/>
    <xf numFmtId="0" fontId="5" fillId="0" borderId="5" pivotButton="0" quotePrefix="0" xfId="2"/>
    <xf numFmtId="16" fontId="5" fillId="0" borderId="0" applyAlignment="1" pivotButton="0" quotePrefix="1" xfId="2">
      <alignment horizontal="center"/>
    </xf>
    <xf numFmtId="9" fontId="5" fillId="0" borderId="0" applyAlignment="1" pivotButton="0" quotePrefix="1" xfId="1">
      <alignment horizontal="center" vertical="top"/>
    </xf>
    <xf numFmtId="9" fontId="5" fillId="0" borderId="6" applyAlignment="1" pivotButton="0" quotePrefix="1" xfId="1">
      <alignment horizontal="center" vertical="top"/>
    </xf>
    <xf numFmtId="0" fontId="2" fillId="0" borderId="0" applyAlignment="1" pivotButton="0" quotePrefix="0" xfId="2">
      <alignment horizontal="center"/>
    </xf>
    <xf numFmtId="0" fontId="2" fillId="0" borderId="6" pivotButton="0" quotePrefix="0" xfId="2"/>
    <xf numFmtId="0" fontId="2" fillId="0" borderId="5" applyAlignment="1" pivotButton="0" quotePrefix="1" xfId="2">
      <alignment horizontal="left" indent="1"/>
    </xf>
    <xf numFmtId="0" fontId="2" fillId="0" borderId="7" applyAlignment="1" pivotButton="0" quotePrefix="1" xfId="2">
      <alignment horizontal="left" indent="1"/>
    </xf>
    <xf numFmtId="0" fontId="2" fillId="0" borderId="8" pivotButton="0" quotePrefix="0" xfId="2"/>
    <xf numFmtId="0" fontId="2" fillId="0" borderId="9" pivotButton="0" quotePrefix="0" xfId="2"/>
    <xf numFmtId="0" fontId="5" fillId="0" borderId="10" pivotButton="0" quotePrefix="0" xfId="2"/>
    <xf numFmtId="9" fontId="5" fillId="0" borderId="0" applyAlignment="1" pivotButton="0" quotePrefix="0" xfId="2">
      <alignment horizontal="center"/>
    </xf>
    <xf numFmtId="0" fontId="2" fillId="0" borderId="11" pivotButton="0" quotePrefix="0" xfId="2"/>
    <xf numFmtId="0" fontId="2" fillId="0" borderId="12" pivotButton="0" quotePrefix="0" xfId="2"/>
    <xf numFmtId="0" fontId="5" fillId="0" borderId="11" pivotButton="0" quotePrefix="0" xfId="2"/>
    <xf numFmtId="0" fontId="2" fillId="0" borderId="14" applyAlignment="1" pivotButton="0" quotePrefix="1" xfId="2">
      <alignment horizontal="left" indent="1"/>
    </xf>
    <xf numFmtId="0" fontId="2" fillId="0" borderId="15" pivotButton="0" quotePrefix="0" xfId="2"/>
    <xf numFmtId="0" fontId="2" fillId="0" borderId="16" pivotButton="0" quotePrefix="0" xfId="2"/>
    <xf numFmtId="9" fontId="5" fillId="0" borderId="19" applyAlignment="1" pivotButton="0" quotePrefix="1" xfId="1">
      <alignment horizontal="center" vertical="top"/>
    </xf>
    <xf numFmtId="0" fontId="2" fillId="0" borderId="19" pivotButton="0" quotePrefix="0" xfId="2"/>
    <xf numFmtId="0" fontId="2" fillId="0" borderId="13" pivotButton="0" quotePrefix="0" xfId="2"/>
    <xf numFmtId="0" fontId="2" fillId="0" borderId="18" pivotButton="0" quotePrefix="0" xfId="2"/>
    <xf numFmtId="0" fontId="2" fillId="0" borderId="5" pivotButton="0" quotePrefix="0" xfId="2"/>
    <xf numFmtId="9" fontId="7" fillId="0" borderId="0" applyAlignment="1" pivotButton="0" quotePrefix="0" xfId="2">
      <alignment horizontal="center"/>
    </xf>
    <xf numFmtId="0" fontId="2" fillId="2" borderId="0" pivotButton="0" quotePrefix="0" xfId="2"/>
    <xf numFmtId="0" fontId="3" fillId="2" borderId="0" pivotButton="0" quotePrefix="0" xfId="2"/>
    <xf numFmtId="0" fontId="3" fillId="2" borderId="0" applyAlignment="1" pivotButton="0" quotePrefix="0" xfId="2">
      <alignment horizontal="right"/>
    </xf>
    <xf numFmtId="164" fontId="3" fillId="2" borderId="0" applyAlignment="1" pivotButton="0" quotePrefix="0" xfId="1">
      <alignment horizontal="center" vertical="top"/>
    </xf>
    <xf numFmtId="165" fontId="3" fillId="2" borderId="0" applyAlignment="1" pivotButton="0" quotePrefix="0" xfId="1">
      <alignment horizontal="center" vertical="top"/>
    </xf>
    <xf numFmtId="0" fontId="4" fillId="2" borderId="0" pivotButton="0" quotePrefix="0" xfId="2"/>
    <xf numFmtId="166" fontId="3" fillId="2" borderId="0" applyAlignment="1" pivotButton="0" quotePrefix="0" xfId="1">
      <alignment horizontal="center" vertical="top"/>
    </xf>
    <xf numFmtId="0" fontId="3" fillId="2" borderId="3" pivotButton="0" quotePrefix="0" xfId="2"/>
    <xf numFmtId="0" fontId="3" fillId="2" borderId="1" applyAlignment="1" pivotButton="0" quotePrefix="0" xfId="2">
      <alignment horizontal="center"/>
    </xf>
    <xf numFmtId="9" fontId="3" fillId="2" borderId="1" applyAlignment="1" pivotButton="0" quotePrefix="0" xfId="1">
      <alignment horizontal="center"/>
    </xf>
    <xf numFmtId="9" fontId="3" fillId="2" borderId="1" pivotButton="0" quotePrefix="0" xfId="1"/>
    <xf numFmtId="9" fontId="3" fillId="2" borderId="4" pivotButton="0" quotePrefix="0" xfId="1"/>
    <xf numFmtId="0" fontId="3" fillId="2" borderId="17" applyAlignment="1" pivotButton="0" quotePrefix="0" xfId="2">
      <alignment horizontal="center"/>
    </xf>
    <xf numFmtId="0" fontId="3" fillId="2" borderId="7" pivotButton="0" quotePrefix="0" xfId="2"/>
    <xf numFmtId="16" fontId="3" fillId="2" borderId="8" applyAlignment="1" pivotButton="0" quotePrefix="1" xfId="2">
      <alignment horizontal="center"/>
    </xf>
    <xf numFmtId="9" fontId="3" fillId="2" borderId="8" applyAlignment="1" pivotButton="0" quotePrefix="0" xfId="1">
      <alignment horizontal="center"/>
    </xf>
    <xf numFmtId="9" fontId="3" fillId="2" borderId="8" applyAlignment="1" pivotButton="0" quotePrefix="1" xfId="1">
      <alignment horizontal="center"/>
    </xf>
    <xf numFmtId="9" fontId="3" fillId="2" borderId="9" applyAlignment="1" pivotButton="0" quotePrefix="1" xfId="1">
      <alignment horizontal="center"/>
    </xf>
    <xf numFmtId="9" fontId="3" fillId="2" borderId="18" applyAlignment="1" pivotButton="0" quotePrefix="1" xfId="1">
      <alignment horizontal="center"/>
    </xf>
    <xf numFmtId="0" fontId="6" fillId="3" borderId="2" applyAlignment="1" pivotButton="0" quotePrefix="0" xfId="2">
      <alignment horizontal="center"/>
    </xf>
    <xf numFmtId="0" fontId="7" fillId="3" borderId="2" applyAlignment="1" pivotButton="0" quotePrefix="0" xfId="2">
      <alignment horizontal="center"/>
    </xf>
    <xf numFmtId="2" fontId="6" fillId="3" borderId="2" applyAlignment="1" pivotButton="0" quotePrefix="0" xfId="2">
      <alignment horizontal="center"/>
    </xf>
    <xf numFmtId="2" fontId="2" fillId="0" borderId="0" pivotButton="0" quotePrefix="0" xfId="2"/>
    <xf numFmtId="2" fontId="2" fillId="0" borderId="15" pivotButton="0" quotePrefix="0" xfId="2"/>
    <xf numFmtId="2" fontId="2" fillId="0" borderId="8" pivotButton="0" quotePrefix="0" xfId="2"/>
    <xf numFmtId="0" fontId="2" fillId="0" borderId="5" applyAlignment="1" pivotButton="0" quotePrefix="0" xfId="2">
      <alignment wrapText="1"/>
    </xf>
    <xf numFmtId="9" fontId="5" fillId="0" borderId="0" applyAlignment="1" pivotButton="0" quotePrefix="0" xfId="3">
      <alignment horizontal="center" vertical="top"/>
    </xf>
    <xf numFmtId="9" fontId="5" fillId="0" borderId="0" applyAlignment="1" pivotButton="0" quotePrefix="1" xfId="3">
      <alignment horizontal="center" vertical="top"/>
    </xf>
    <xf numFmtId="0" fontId="4" fillId="0" borderId="0" pivotButton="0" quotePrefix="0" xfId="2"/>
    <xf numFmtId="0" fontId="4" fillId="0" borderId="20" pivotButton="0" quotePrefix="0" xfId="2"/>
    <xf numFmtId="0" fontId="3" fillId="2" borderId="4" applyAlignment="1" pivotButton="0" quotePrefix="0" xfId="2">
      <alignment horizontal="center"/>
    </xf>
    <xf numFmtId="0" fontId="0" fillId="0" borderId="1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</cellXfs>
  <cellStyles count="4">
    <cellStyle name="Normal" xfId="0" builtinId="0"/>
    <cellStyle name="Percent" xfId="1" builtinId="5"/>
    <cellStyle name="Normal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A1" sqref="A1"/>
    </sheetView>
  </sheetViews>
  <sheetFormatPr baseColWidth="8" defaultRowHeight="15"/>
  <cols>
    <col width="45" customWidth="1" min="2" max="2"/>
    <col width="12" customWidth="1" min="3" max="3"/>
    <col width="55" customWidth="1" min="4" max="4"/>
    <col width="30" customWidth="1" min="5" max="5"/>
  </cols>
  <sheetData>
    <row r="3">
      <c r="B3" s="61" t="inlineStr">
        <is>
          <t>Specialty Coffee Equipment Service Initial Screen</t>
        </is>
      </c>
    </row>
    <row r="5">
      <c r="B5" s="62" t="inlineStr">
        <is>
          <t>Initial Screen</t>
        </is>
      </c>
      <c r="C5" s="62" t="inlineStr">
        <is>
          <t>Pass/Fail</t>
        </is>
      </c>
      <c r="D5" s="62" t="inlineStr">
        <is>
          <t>Criteria</t>
        </is>
      </c>
      <c r="E5" s="62" t="inlineStr">
        <is>
          <t>Notes</t>
        </is>
      </c>
    </row>
    <row r="6">
      <c r="B6" t="inlineStr">
        <is>
          <t>Margins</t>
        </is>
      </c>
      <c r="C6" t="inlineStr">
        <is>
          <t>Pass (post-professionalization)</t>
        </is>
      </c>
      <c r="D6" t="inlineStr">
        <is>
          <t>15%+ EBITDA margins required</t>
        </is>
      </c>
      <c r="E6" t="inlineStr">
        <is>
          <t>Baseline 8-12% blended EBITDA at owner-operator level (below 15% gate). Best-run operators hit 12-15% today. AI/route optimization + centralized parts/ops lifts to 15-18% post-acquisition. Passes on forward-looking basis; baseline margin is a flag.</t>
        </is>
      </c>
    </row>
    <row r="7">
      <c r="B7" t="inlineStr">
        <is>
          <t>Recurring Revenue</t>
        </is>
      </c>
      <c r="C7" t="inlineStr">
        <is>
          <t>Pass</t>
        </is>
      </c>
      <c r="D7" t="inlineStr">
        <is>
          <t>Existing recurring/contractual revenue or clear path to convert</t>
        </is>
      </c>
      <c r="E7" t="inlineStr">
        <is>
          <t>~60-70% contract/scheduled revenue today (PM contracts quarterly, water filter changes monthly, parts pass-through on retained accounts, retained-account emergency repair). Meets truly-recurring definition. Remaining 30-40% is project (new install/commissioning).</t>
        </is>
      </c>
    </row>
    <row r="8">
      <c r="B8" t="inlineStr">
        <is>
          <t>Industry Growth</t>
        </is>
      </c>
      <c r="C8" t="inlineStr">
        <is>
          <t>Pass</t>
        </is>
      </c>
      <c r="D8" t="inlineStr">
        <is>
          <t>Growth rate above GDP (~3%+)</t>
        </is>
      </c>
      <c r="E8" t="inlineStr">
        <is>
          <t>US specialty coffee market growing 8-12% annually (well above broader food service and GDP). Specialty cafe density continues to grow in tier-1/tier-2 metros; boutique hotel espresso programs expanding post-COVID. ~2.5-4x GDP growth.</t>
        </is>
      </c>
    </row>
    <row r="9">
      <c r="B9" t="inlineStr">
        <is>
          <t>Growth TAM</t>
        </is>
      </c>
      <c r="C9" t="inlineStr">
        <is>
          <t>Pass (scope-dependent)</t>
        </is>
      </c>
      <c r="D9" t="inlineStr">
        <is>
          <t>$500M+ total addressable market (investor floor)</t>
        </is>
      </c>
      <c r="E9" t="inlineStr">
        <is>
          <t>Service-only sub-segment estimated $200M-600M US (borderline vs $500M floor). Broader commercial coffee equipment service (including multi-brand authorized dealers and allied filtration/brewer service) $500M-1.5B. Clears gate at broadened framing; flag dependency on scope definition.</t>
        </is>
      </c>
    </row>
    <row r="11">
      <c r="B11" s="62" t="inlineStr">
        <is>
          <t>VERDICT</t>
        </is>
      </c>
      <c r="C11" t="inlineStr">
        <is>
          <t>PASS (with flags)</t>
        </is>
      </c>
      <c r="D11" t="inlineStr">
        <is>
          <t>All 4 must pass to proceed to Industry Scorecard</t>
        </is>
      </c>
      <c r="E11" t="inlineStr">
        <is>
          <t>All 4 criteria clear with noted caveats: baseline margin below gate but lifts past it post-professionalization; TAM passes at broadened scope. Proceed to Industry Scorecard.</t>
        </is>
      </c>
    </row>
    <row r="13">
      <c r="B13" s="62" t="inlineStr">
        <is>
          <t>Target TAM (informational — not scored)</t>
        </is>
      </c>
    </row>
    <row r="14">
      <c r="B14" t="inlineStr">
        <is>
          <t>Number of independently owned acquisition candidates</t>
        </is>
      </c>
      <c r="C14" t="inlineStr">
        <is>
          <t>300-1,200</t>
        </is>
      </c>
      <c r="D14" t="inlineStr">
        <is>
          <t>Determines sprint duration, not go/no-go</t>
        </is>
      </c>
      <c r="E14" t="inlineStr">
        <is>
          <t>~100-200 pure-play specialty espresso service shops US-wide. Expands to 300-500 with broader pure-plays and ~800-1,200 including multi-brand authorized dealers and independent technicians. Tier-1 metros: 5-15 shops each (NYC, SF, LA, Chicago, Seattle). Most metros have 2-5.</t>
        </is>
      </c>
    </row>
    <row r="15">
      <c r="B15" t="inlineStr">
        <is>
          <t>Sprint duration estimate</t>
        </is>
      </c>
      <c r="C15" t="inlineStr">
        <is>
          <t>Focused (national) / Very Fast (single metro)</t>
        </is>
      </c>
      <c r="D15" t="inlineStr">
        <is>
          <t>50+ = long sprint | 20-50 = focused | 10-20 = fast | &lt;10 = very fast</t>
        </is>
      </c>
      <c r="E15" t="inlineStr">
        <is>
          <t>National outreach framing 800-1,200 target list = focused sprint. Single tier-1 metro anchor strategy 30-80 targets = focused. Below-anchor single-metro 5-15 pure-plays = very fast.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0"/>
    <outlinePr summaryBelow="1" summaryRight="1"/>
    <pageSetUpPr/>
  </sheetPr>
  <dimension ref="B2:J99"/>
  <sheetViews>
    <sheetView showGridLines="0" tabSelected="1" topLeftCell="A44" zoomScale="170" zoomScaleNormal="170" workbookViewId="0">
      <selection activeCell="B27" sqref="B27"/>
    </sheetView>
  </sheetViews>
  <sheetFormatPr baseColWidth="10" defaultColWidth="8.83203125" defaultRowHeight="14"/>
  <cols>
    <col width="1.33203125" customWidth="1" style="2" min="1" max="1"/>
    <col width="47.33203125" customWidth="1" style="2" min="2" max="2"/>
    <col outlineLevel="1" width="11.83203125" customWidth="1" style="2" min="3" max="4"/>
    <col outlineLevel="1" width="8.33203125" customWidth="1" style="2" min="5" max="5"/>
    <col width="3.1640625" bestFit="1" customWidth="1" style="2" min="6" max="6"/>
    <col outlineLevel="1" width="25.6640625" customWidth="1" style="2" min="7" max="7"/>
    <col outlineLevel="1" width="32" customWidth="1" style="2" min="8" max="8"/>
    <col outlineLevel="1" width="23" customWidth="1" style="2" min="9" max="9"/>
    <col width="32.1640625" customWidth="1" style="2" min="10" max="10"/>
    <col width="8.83203125" customWidth="1" style="2" min="11" max="11"/>
    <col width="8.83203125" customWidth="1" style="2" min="12" max="16384"/>
  </cols>
  <sheetData>
    <row r="1" customFormat="1" s="28"/>
    <row r="2" customFormat="1" s="28">
      <c r="B2" s="29" t="n"/>
      <c r="C2" s="30" t="n"/>
      <c r="D2" s="31" t="n"/>
      <c r="E2" s="31" t="n"/>
      <c r="F2" s="31" t="n"/>
      <c r="G2" s="32" t="n"/>
      <c r="H2" s="32" t="n"/>
      <c r="I2" s="30" t="n"/>
    </row>
    <row r="3" customFormat="1" s="28">
      <c r="B3" s="33" t="inlineStr">
        <is>
          <t>Specialty Coffee Equipment Service Industry Scorecard</t>
        </is>
      </c>
      <c r="C3" s="30" t="n"/>
      <c r="D3" s="34" t="n"/>
      <c r="E3" s="34" t="n"/>
      <c r="F3" s="34" t="n"/>
      <c r="G3" s="32" t="n"/>
      <c r="H3" s="32" t="n"/>
      <c r="I3" s="30" t="n"/>
    </row>
    <row r="4" ht="6" customHeight="1">
      <c r="D4" s="1" t="n"/>
      <c r="E4" s="1" t="n"/>
      <c r="F4" s="1" t="n"/>
      <c r="G4" s="1" t="n"/>
      <c r="H4" s="1" t="n"/>
    </row>
    <row r="5" ht="14.5" customHeight="1">
      <c r="B5" s="35" t="inlineStr">
        <is>
          <t>Specialty Coffee Equipment Service Industry Scorecard</t>
        </is>
      </c>
      <c r="C5" s="36" t="inlineStr">
        <is>
          <t>Score</t>
        </is>
      </c>
      <c r="D5" s="37" t="inlineStr">
        <is>
          <t>Weight</t>
        </is>
      </c>
      <c r="E5" s="38" t="inlineStr">
        <is>
          <t>Evaluation</t>
        </is>
      </c>
      <c r="F5" s="39" t="n"/>
      <c r="G5" s="58" t="inlineStr">
        <is>
          <t>Criteria for Evaluation</t>
        </is>
      </c>
      <c r="H5" s="59" t="n"/>
      <c r="I5" s="60" t="n"/>
      <c r="J5" s="40" t="inlineStr">
        <is>
          <t>General Commentary / Supporting Data</t>
        </is>
      </c>
    </row>
    <row r="6">
      <c r="B6" s="41" t="n"/>
      <c r="C6" s="42" t="inlineStr">
        <is>
          <t>(1-3)</t>
        </is>
      </c>
      <c r="D6" s="43" t="inlineStr">
        <is>
          <t>(%)</t>
        </is>
      </c>
      <c r="E6" s="44" t="inlineStr">
        <is>
          <t>+/-</t>
        </is>
      </c>
      <c r="F6" s="45" t="n"/>
      <c r="G6" s="44" t="inlineStr">
        <is>
          <t>+</t>
        </is>
      </c>
      <c r="H6" s="44" t="inlineStr">
        <is>
          <t>+/-</t>
        </is>
      </c>
      <c r="I6" s="45" t="inlineStr">
        <is>
          <t>-</t>
        </is>
      </c>
      <c r="J6" s="46" t="n"/>
    </row>
    <row r="7" ht="6" customHeight="1">
      <c r="B7" s="4" t="n"/>
      <c r="C7" s="5" t="n"/>
      <c r="D7" s="54" t="n"/>
      <c r="E7" s="55" t="n"/>
      <c r="F7" s="7" t="n"/>
      <c r="G7" s="6" t="n"/>
      <c r="H7" s="6" t="n"/>
      <c r="I7" s="7" t="n"/>
      <c r="J7" s="22" t="n"/>
    </row>
    <row r="8">
      <c r="B8" s="4" t="inlineStr">
        <is>
          <t>Growth, Penetration and Catalyst</t>
        </is>
      </c>
      <c r="C8" s="49">
        <f>AVERAGE(D9:D12)</f>
        <v/>
      </c>
      <c r="D8" s="15" t="n">
        <v>0.25</v>
      </c>
      <c r="E8" s="8" t="n"/>
      <c r="F8" s="9" t="n"/>
      <c r="I8" s="9" t="n"/>
      <c r="J8" s="23" t="n"/>
    </row>
    <row r="9" ht="12.75" customHeight="1">
      <c r="B9" s="10" t="inlineStr">
        <is>
          <t>- Growth relative to GDP (5 yr CAGR)</t>
        </is>
      </c>
      <c r="C9" s="50" t="n"/>
      <c r="D9" s="56">
        <f t="array" ref="D9">_xlfn.SWITCH(E9,"+",3,"+/-",2,"-",1)</f>
        <v/>
      </c>
      <c r="E9" s="48" t="inlineStr">
        <is>
          <t>+/-</t>
        </is>
      </c>
      <c r="F9" s="9" t="n"/>
      <c r="G9" s="2" t="inlineStr">
        <is>
          <t>&gt;3x GDP growth</t>
        </is>
      </c>
      <c r="H9" s="2" t="inlineStr">
        <is>
          <t>1-3x GDP growth</t>
        </is>
      </c>
      <c r="I9" s="9" t="inlineStr">
        <is>
          <t>Growth with GDP or below</t>
        </is>
      </c>
      <c r="J9" s="23" t="inlineStr">
        <is>
          <t>Specialty coffee 8-12% CAGR; ~2.5-4x GDP growth. Specialty cafe density continues to grow tier-1 and tier-2 metros.</t>
        </is>
      </c>
    </row>
    <row r="10" ht="12.75" customHeight="1">
      <c r="B10" s="10" t="inlineStr">
        <is>
          <t>- Industry penetration</t>
        </is>
      </c>
      <c r="C10" s="50" t="n"/>
      <c r="D10" s="56">
        <f t="array" ref="D10">_xlfn.SWITCH(E10,"+",3,"+/-",2,"-",1)</f>
        <v/>
      </c>
      <c r="E10" s="48" t="inlineStr">
        <is>
          <t>+</t>
        </is>
      </c>
      <c r="F10" s="9" t="inlineStr">
        <is>
          <t>+/-</t>
        </is>
      </c>
      <c r="G10" s="2" t="inlineStr">
        <is>
          <t>Strong catalyst</t>
        </is>
      </c>
      <c r="H10" s="2" t="inlineStr">
        <is>
          <t>Potential catalyst</t>
        </is>
      </c>
      <c r="I10" s="9" t="inlineStr">
        <is>
          <t>No clear catalyst</t>
        </is>
      </c>
      <c r="J10" s="23" t="inlineStr">
        <is>
          <t>Strong structural catalysts: luxury hospitality F&amp;B expansion, 3rd-wave specialty coffee still spreading, zero-downtime tolerance creates price-insensitive emergency demand, insurance/brand-protection drivers.</t>
        </is>
      </c>
    </row>
    <row r="11" ht="12.75" customHeight="1">
      <c r="B11" s="10" t="inlineStr">
        <is>
          <t>- future growth expectations</t>
        </is>
      </c>
      <c r="C11" s="50" t="n"/>
      <c r="D11" s="56">
        <f t="array" ref="D11">_xlfn.SWITCH(E11,"+",3,"+/-",2,"-",1)</f>
        <v/>
      </c>
      <c r="E11" s="48" t="inlineStr">
        <is>
          <t>+</t>
        </is>
      </c>
      <c r="F11" s="9" t="n"/>
      <c r="G11" s="2" t="inlineStr">
        <is>
          <t>Mostly Tailwinds</t>
        </is>
      </c>
      <c r="H11" s="2" t="inlineStr">
        <is>
          <t>Mix of Tailwinds/Headwinds</t>
        </is>
      </c>
      <c r="I11" s="9" t="inlineStr">
        <is>
          <t>Mostly Headwinds</t>
        </is>
      </c>
      <c r="J11" s="23" t="inlineStr">
        <is>
          <t>Mostly tailwinds: boutique hotel F&amp;B expansion post-COVID, specialty cafe density growth, members-only club espresso programs expanding, climate-resilient consumption pattern. No material category headwinds identified.</t>
        </is>
      </c>
    </row>
    <row r="12" ht="12.75" customHeight="1">
      <c r="B12" s="19" t="inlineStr">
        <is>
          <t>- Evidence to support a catalyst</t>
        </is>
      </c>
      <c r="C12" s="51" t="n"/>
      <c r="D12" s="57">
        <f t="array" ref="D12">_xlfn.SWITCH(E12,"+",3,"+/-",2,"-",1)</f>
        <v/>
      </c>
      <c r="E12" s="48" t="inlineStr">
        <is>
          <t>+</t>
        </is>
      </c>
      <c r="F12" s="21" t="n"/>
      <c r="G12" s="20" t="inlineStr">
        <is>
          <t>Strong catalyst</t>
        </is>
      </c>
      <c r="H12" s="20" t="inlineStr">
        <is>
          <t>Potential catalyst</t>
        </is>
      </c>
      <c r="I12" s="21" t="inlineStr">
        <is>
          <t>No clear catalyst</t>
        </is>
      </c>
      <c r="J12" s="24" t="inlineStr">
        <is>
          <t>Demand abundant, cost is the bottleneck. AI/route-optimization attacks cost side. Customer pain points (tech availability, response time, parts pricing) documented. Equipment installed base grows with cafe/hotel count.</t>
        </is>
      </c>
    </row>
    <row r="13" ht="12.75" customHeight="1">
      <c r="B13" s="4" t="inlineStr">
        <is>
          <t>Size and Fragmentation</t>
        </is>
      </c>
      <c r="C13" s="49">
        <f>AVERAGE(D14:D15)</f>
        <v/>
      </c>
      <c r="D13" s="15" t="n">
        <v>0.1</v>
      </c>
      <c r="E13" s="8" t="n"/>
      <c r="F13" s="9" t="n"/>
      <c r="I13" s="9" t="n"/>
      <c r="J13" s="23" t="n"/>
    </row>
    <row r="14" ht="12.75" customHeight="1">
      <c r="B14" s="10" t="inlineStr">
        <is>
          <t>- Number of players</t>
        </is>
      </c>
      <c r="C14" s="50" t="n"/>
      <c r="D14" s="56">
        <f t="array" ref="D14">_xlfn.SWITCH(E14,"+",3,"+/-",2,"-",1)</f>
        <v/>
      </c>
      <c r="E14" s="48" t="inlineStr">
        <is>
          <t>+/-</t>
        </is>
      </c>
      <c r="F14" s="9" t="n"/>
      <c r="G14" s="2" t="inlineStr">
        <is>
          <t>Thousands of players</t>
        </is>
      </c>
      <c r="H14" s="2" t="inlineStr">
        <is>
          <t>Hundreds of players</t>
        </is>
      </c>
      <c r="I14" s="2" t="inlineStr">
        <is>
          <t>Dozens of players</t>
        </is>
      </c>
      <c r="J14" s="23" t="inlineStr">
        <is>
          <t>~100-200 pure-play specialty espresso service shops US-wide (hundreds band). Expands to 800-1,200 when multi-brand authorized dealers and independent technicians included.</t>
        </is>
      </c>
    </row>
    <row r="15" ht="12.75" customHeight="1">
      <c r="B15" s="19" t="inlineStr">
        <is>
          <t>- Market share concentration</t>
        </is>
      </c>
      <c r="C15" s="51" t="n"/>
      <c r="D15" s="57">
        <f t="array" ref="D15">_xlfn.SWITCH(E15,"+",3,"+/-",2,"-",1)</f>
        <v/>
      </c>
      <c r="E15" s="48" t="inlineStr">
        <is>
          <t>+</t>
        </is>
      </c>
      <c r="F15" s="21" t="n"/>
      <c r="G15" s="20" t="inlineStr">
        <is>
          <t>Largest have &lt;10% mkt sh.</t>
        </is>
      </c>
      <c r="H15" s="20" t="inlineStr">
        <is>
          <t>Largest have &lt;25% mkt sh.</t>
        </is>
      </c>
      <c r="I15" s="21" t="inlineStr">
        <is>
          <t>Largest have &gt;50% mkt sh.</t>
        </is>
      </c>
      <c r="J15" s="24" t="inlineStr">
        <is>
          <t>Highly fragmented. Most metros have 2-5 shops, tier-1 metros have 5-15 each. No national category leader. OEM direct-service arms cover only major metros, cannot cover long tail or multi-brand fleets.</t>
        </is>
      </c>
    </row>
    <row r="16" ht="12.75" customHeight="1">
      <c r="B16" s="4" t="inlineStr">
        <is>
          <t>Industry Economics</t>
        </is>
      </c>
      <c r="C16" s="49">
        <f>AVERAGE(D17:D19)</f>
        <v/>
      </c>
      <c r="D16" s="15" t="n">
        <v>0.1</v>
      </c>
      <c r="E16" s="8" t="n"/>
      <c r="F16" s="9" t="n"/>
      <c r="I16" s="9" t="n"/>
      <c r="J16" s="23" t="n"/>
    </row>
    <row r="17" ht="12.75" customHeight="1">
      <c r="B17" s="10" t="inlineStr">
        <is>
          <t>- Average industry gross margins</t>
        </is>
      </c>
      <c r="C17" s="50" t="n"/>
      <c r="D17" s="56">
        <f t="array" ref="D17">_xlfn.SWITCH(E17,"+",3,"+/-",2,"-",1)</f>
        <v/>
      </c>
      <c r="E17" s="48" t="inlineStr">
        <is>
          <t>+/-</t>
        </is>
      </c>
      <c r="F17" s="9" t="n"/>
      <c r="G17" s="2" t="inlineStr">
        <is>
          <t>60-90% gross margins</t>
        </is>
      </c>
      <c r="H17" s="2" t="inlineStr">
        <is>
          <t>40-60% gross margins</t>
        </is>
      </c>
      <c r="I17" s="9" t="inlineStr">
        <is>
          <t>10-40% gross margins</t>
        </is>
      </c>
      <c r="J17" s="23" t="inlineStr">
        <is>
          <t>Blended 40-55% gross margin on service + parts. Parts pass-through carries high markup; labor-heavy service lower. Water filter contracts and PM visits at upper end.</t>
        </is>
      </c>
    </row>
    <row r="18" ht="12.75" customHeight="1">
      <c r="B18" s="10" t="inlineStr">
        <is>
          <t>- Average industry EBITDA margins</t>
        </is>
      </c>
      <c r="C18" s="50" t="n"/>
      <c r="D18" s="56">
        <f t="array" ref="D18">_xlfn.SWITCH(E18,"+",3,"+/-",2,"-",1)</f>
        <v/>
      </c>
      <c r="E18" s="48" t="inlineStr">
        <is>
          <t>-</t>
        </is>
      </c>
      <c r="F18" s="9" t="n"/>
      <c r="G18" s="2" t="inlineStr">
        <is>
          <t>30-60% EBITDA margins</t>
        </is>
      </c>
      <c r="H18" s="2" t="inlineStr">
        <is>
          <t>10-30% EBITDA margins</t>
        </is>
      </c>
      <c r="I18" s="9" t="inlineStr">
        <is>
          <t>&lt;10% EBITDA margins</t>
        </is>
      </c>
      <c r="J18" s="23" t="inlineStr">
        <is>
          <t>Baseline 8-12% blended EBITDA at owner-operator level (&lt;15% band). Best-run operators hit 12-15%. Post-professionalization (route optimization, centralized parts/ops, predictive maintenance) lifts to 15-18% — still in +/- band. Scored on baseline industry state.</t>
        </is>
      </c>
    </row>
    <row r="19" ht="12.75" customHeight="1">
      <c r="B19" s="19" t="inlineStr">
        <is>
          <t>- Average industry ROTC</t>
        </is>
      </c>
      <c r="C19" s="51" t="n"/>
      <c r="D19" s="57">
        <f t="array" ref="D19">_xlfn.SWITCH(E19,"+",3,"+/-",2,"-",1)</f>
        <v/>
      </c>
      <c r="E19" s="48" t="inlineStr">
        <is>
          <t>+/-</t>
        </is>
      </c>
      <c r="F19" s="21" t="n"/>
      <c r="G19" s="20" t="inlineStr">
        <is>
          <t>&gt;20% ROTC</t>
        </is>
      </c>
      <c r="H19" s="20" t="inlineStr">
        <is>
          <t>10-20% ROTC</t>
        </is>
      </c>
      <c r="I19" s="21" t="inlineStr">
        <is>
          <t>&lt;10% ROTC</t>
        </is>
      </c>
      <c r="J19" s="24" t="inlineStr">
        <is>
          <t>Asset-light field service. Main capex is vans, diagnostic tools, apprenticeship investment. ROTC likely 10-20% for well-run operators; higher post-professionalization.</t>
        </is>
      </c>
    </row>
    <row r="20" ht="12.75" customHeight="1">
      <c r="B20" s="4" t="inlineStr">
        <is>
          <t>Mission Criticality</t>
        </is>
      </c>
      <c r="C20" s="49">
        <f>AVERAGE(D21:D23)</f>
        <v/>
      </c>
      <c r="D20" s="15" t="n">
        <v>0.15</v>
      </c>
      <c r="E20" s="8" t="n"/>
      <c r="F20" s="9" t="n"/>
      <c r="I20" s="9" t="n"/>
      <c r="J20" s="23" t="n"/>
    </row>
    <row r="21" ht="12.75" customHeight="1">
      <c r="B21" s="10" t="inlineStr">
        <is>
          <t>- Average customer feedback</t>
        </is>
      </c>
      <c r="C21" s="50" t="n"/>
      <c r="D21" s="56">
        <f t="array" ref="D21">_xlfn.SWITCH(E21,"+",3,"+/-",2,"-",1)</f>
        <v/>
      </c>
      <c r="E21" s="48" t="inlineStr">
        <is>
          <t>+</t>
        </is>
      </c>
      <c r="F21" s="9" t="n"/>
      <c r="G21" s="2" t="inlineStr">
        <is>
          <t>Positive customer feedback</t>
        </is>
      </c>
      <c r="H21" s="2" t="inlineStr">
        <is>
          <t>Neutral feedback</t>
        </is>
      </c>
      <c r="I21" s="9" t="inlineStr">
        <is>
          <t>Negative feedback</t>
        </is>
      </c>
      <c r="J21" s="23" t="inlineStr">
        <is>
          <t>High-end coffee shop owners and hotel F&amp;B directors report strong positive feedback to quality operators. Customer service quality varies wildly across shops — best operators have waiting lists; poorest have retention issues. Referral-driven growth at near-zero CAC.</t>
        </is>
      </c>
    </row>
    <row r="22" ht="12.75" customHeight="1">
      <c r="B22" s="10" t="inlineStr">
        <is>
          <t>- Clarity of value proposition</t>
        </is>
      </c>
      <c r="C22" s="50" t="n"/>
      <c r="D22" s="56">
        <f t="array" ref="D22">_xlfn.SWITCH(E22,"+",3,"+/-",2,"-",1)</f>
        <v/>
      </c>
      <c r="E22" s="48" t="inlineStr">
        <is>
          <t>+</t>
        </is>
      </c>
      <c r="F22" s="9" t="n"/>
      <c r="G22" s="2" t="inlineStr">
        <is>
          <t>Clear value proposition</t>
        </is>
      </c>
      <c r="H22" s="2" t="inlineStr">
        <is>
          <t>Weaker value proposition</t>
        </is>
      </c>
      <c r="I22" s="9" t="inlineStr">
        <is>
          <t>Unclear value proposition</t>
        </is>
      </c>
      <c r="J22" s="23" t="inlineStr">
        <is>
          <t>Crystal-clear value prop: broken espresso machine = lost shift = lost revenue + brand damage. Zero downtime tolerance in luxury hospitality = price-insensitive emergency demand. Preventive maintenance contracts quantifiably reduce failure incidents.</t>
        </is>
      </c>
    </row>
    <row r="23" ht="12.75" customHeight="1">
      <c r="B23" s="19" t="inlineStr">
        <is>
          <t>- Customer switching costs</t>
        </is>
      </c>
      <c r="C23" s="51" t="n"/>
      <c r="D23" s="57">
        <f t="array" ref="D23">_xlfn.SWITCH(E23,"+",3,"+/-",2,"-",1)</f>
        <v/>
      </c>
      <c r="E23" s="48" t="inlineStr">
        <is>
          <t>+</t>
        </is>
      </c>
      <c r="F23" s="21" t="n"/>
      <c r="G23" s="20" t="inlineStr">
        <is>
          <t>High customers switch costs</t>
        </is>
      </c>
      <c r="H23" s="20" t="inlineStr">
        <is>
          <t>Can be replaced w/effort</t>
        </is>
      </c>
      <c r="I23" s="21" t="inlineStr">
        <is>
          <t>Easy to replace</t>
        </is>
      </c>
      <c r="J23" s="24" t="inlineStr">
        <is>
          <t>High switching costs. Reputation in barista/roaster community is referral-driven. Response-time SLAs and master-tech availability are the differentiators; switching risks downtime during qualification of new provider. Historical machine diagnostic data stays with incumbent.</t>
        </is>
      </c>
    </row>
    <row r="24" ht="12.75" customHeight="1">
      <c r="B24" s="4" t="inlineStr">
        <is>
          <t>Exogeneous Risks</t>
        </is>
      </c>
      <c r="C24" s="49">
        <f>AVERAGE(D25:D29)</f>
        <v/>
      </c>
      <c r="D24" s="15" t="n">
        <v>0.1</v>
      </c>
      <c r="E24" s="8" t="n"/>
      <c r="F24" s="9" t="n"/>
      <c r="I24" s="9" t="n"/>
      <c r="J24" s="23" t="n"/>
    </row>
    <row r="25" ht="12.75" customHeight="1">
      <c r="B25" s="10" t="inlineStr">
        <is>
          <t>- Visibility on tech adoption and obsolescence</t>
        </is>
      </c>
      <c r="C25" s="50" t="n"/>
      <c r="D25" s="56">
        <f t="array" ref="D25">_xlfn.SWITCH(E25,"+",3,"+/-",2,"-",1)</f>
        <v/>
      </c>
      <c r="E25" s="48" t="inlineStr">
        <is>
          <t>+</t>
        </is>
      </c>
      <c r="F25" s="9" t="n"/>
      <c r="G25" s="2" t="inlineStr">
        <is>
          <t>High visibility</t>
        </is>
      </c>
      <c r="H25" s="2" t="inlineStr">
        <is>
          <t>Some visibility</t>
        </is>
      </c>
      <c r="I25" s="9" t="inlineStr">
        <is>
          <t>No visibility</t>
        </is>
      </c>
      <c r="J25" s="23" t="inlineStr">
        <is>
          <t>High visibility. Service is physical on-site work (boiler hydraulics, group head rebuilds, grinder calibration) — AI cannot virtualize. Espresso pull tasting + adjustment requires human craft. Sensor/IoT tooling augments but does not replace.</t>
        </is>
      </c>
    </row>
    <row r="26" ht="12.75" customHeight="1">
      <c r="B26" s="10" t="inlineStr">
        <is>
          <t>- Regulatory risk and frequency of changes</t>
        </is>
      </c>
      <c r="C26" s="50" t="n"/>
      <c r="D26" s="56">
        <f t="array" ref="D26">_xlfn.SWITCH(E26,"+",3,"+/-",2,"-",1)</f>
        <v/>
      </c>
      <c r="E26" s="48" t="inlineStr">
        <is>
          <t>+</t>
        </is>
      </c>
      <c r="F26" s="9" t="n"/>
      <c r="G26" s="2" t="inlineStr">
        <is>
          <t>Low risk and frequency</t>
        </is>
      </c>
      <c r="H26" s="2" t="inlineStr">
        <is>
          <t>Some risk and frequency</t>
        </is>
      </c>
      <c r="I26" s="9" t="inlineStr">
        <is>
          <t>High risk and frequency</t>
        </is>
      </c>
      <c r="J26" s="23" t="inlineStr">
        <is>
          <t>Low risk and frequency. Food service hygiene compliance is stable. Pressure vessel / boiler certifications are stable regulatory frameworks. Water quality standards steady.</t>
        </is>
      </c>
    </row>
    <row r="27" ht="12.75" customHeight="1">
      <c r="B27" s="10" t="inlineStr">
        <is>
          <t>- Liability risks</t>
        </is>
      </c>
      <c r="C27" s="50" t="n"/>
      <c r="D27" s="56">
        <f t="array" ref="D27">_xlfn.SWITCH(E27,"+",3,"+/-",2,"-",1)</f>
        <v/>
      </c>
      <c r="E27" s="48" t="inlineStr">
        <is>
          <t>+/-</t>
        </is>
      </c>
      <c r="F27" s="9" t="n"/>
      <c r="G27" s="2" t="inlineStr">
        <is>
          <t>Low liability risks</t>
        </is>
      </c>
      <c r="H27" s="2" t="inlineStr">
        <is>
          <t>Some liability risks</t>
        </is>
      </c>
      <c r="I27" s="9" t="inlineStr">
        <is>
          <t>High liability risks</t>
        </is>
      </c>
      <c r="J27" s="23" t="inlineStr">
        <is>
          <t>Some liability: pressurized boilers, gas lines, electrical work, water damage from improper install. Covered by standard commercial service liability insurance. Manageable with proper certifications and documentation.</t>
        </is>
      </c>
    </row>
    <row r="28" ht="12.75" customHeight="1">
      <c r="B28" s="10" t="inlineStr">
        <is>
          <t>- Cyclicality</t>
        </is>
      </c>
      <c r="C28" s="50" t="n"/>
      <c r="D28" s="56">
        <f t="array" ref="D28">_xlfn.SWITCH(E28,"+",3,"+/-",2,"-",1)</f>
        <v/>
      </c>
      <c r="E28" s="48" t="inlineStr">
        <is>
          <t>+/-</t>
        </is>
      </c>
      <c r="F28" s="9" t="n"/>
      <c r="G28" s="2" t="inlineStr">
        <is>
          <t>Low cyclicality</t>
        </is>
      </c>
      <c r="H28" s="2" t="inlineStr">
        <is>
          <t>Some cyclicality</t>
        </is>
      </c>
      <c r="I28" s="9" t="inlineStr">
        <is>
          <t>High cyclicality</t>
        </is>
      </c>
      <c r="J28" s="23" t="inlineStr">
        <is>
          <t>Some cyclicality. Coffee consumption relatively resilient in downturns. Hotel F&amp;B can slow in severe downturns. Espresso machine maintenance is non-deferrable once deployed; new-install/commissioning project revenue IS cyclical (delays in new cafe/hotel openings).</t>
        </is>
      </c>
    </row>
    <row r="29" ht="12.75" customHeight="1">
      <c r="B29" s="19" t="inlineStr">
        <is>
          <t>- Exposure to trends</t>
        </is>
      </c>
      <c r="C29" s="51" t="n"/>
      <c r="D29" s="57">
        <f t="array" ref="D29">_xlfn.SWITCH(E29,"+",3,"+/-",2,"-",1)</f>
        <v/>
      </c>
      <c r="E29" s="48" t="inlineStr">
        <is>
          <t>+</t>
        </is>
      </c>
      <c r="F29" s="21" t="n"/>
      <c r="G29" s="20" t="inlineStr">
        <is>
          <t>High resiliency to trends</t>
        </is>
      </c>
      <c r="H29" s="20" t="inlineStr">
        <is>
          <t>Some resiliency to trends</t>
        </is>
      </c>
      <c r="I29" s="21" t="inlineStr">
        <is>
          <t>Changing trends</t>
        </is>
      </c>
      <c r="J29" s="24" t="inlineStr">
        <is>
          <t>High resiliency. Specialty coffee consumption is structurally growing, not trend-dependent. Zero-downtime operational tolerance is structural, not fashion. Luxury hospitality expansion is multi-decade trend.</t>
        </is>
      </c>
    </row>
    <row r="30" ht="12.75" customHeight="1">
      <c r="B30" s="4" t="inlineStr">
        <is>
          <t>Porter's Five Forces</t>
        </is>
      </c>
      <c r="C30" s="49">
        <f>AVERAGE(D31:D36)</f>
        <v/>
      </c>
      <c r="D30" s="15" t="n">
        <v>0.15</v>
      </c>
      <c r="E30" s="8" t="n"/>
      <c r="F30" s="9" t="n"/>
      <c r="I30" s="9" t="n"/>
      <c r="J30" s="23" t="n"/>
    </row>
    <row r="31" ht="12.75" customHeight="1">
      <c r="B31" s="10" t="inlineStr">
        <is>
          <t>- Prevalence of VC-backed startups</t>
        </is>
      </c>
      <c r="C31" s="50" t="n"/>
      <c r="D31" s="56">
        <f t="array" ref="D31">_xlfn.SWITCH(E31,"+",3,"+/-",2,"-",1)</f>
        <v/>
      </c>
      <c r="E31" s="48" t="inlineStr">
        <is>
          <t>+</t>
        </is>
      </c>
      <c r="F31" s="9" t="n"/>
      <c r="G31" s="2" t="inlineStr">
        <is>
          <t>Low</t>
        </is>
      </c>
      <c r="H31" s="2" t="inlineStr">
        <is>
          <t>Some</t>
        </is>
      </c>
      <c r="I31" s="9" t="inlineStr">
        <is>
          <t>High</t>
        </is>
      </c>
      <c r="J31" s="23" t="inlineStr">
        <is>
          <t>Low VC presence in traditional specialty espresso service. Some tech-forward platforms (Espresso Parts, Pull Caffe) organizing the online parts/tools market but not disrupting field service itself. Category not VC-hot.</t>
        </is>
      </c>
    </row>
    <row r="32" ht="12.75" customHeight="1">
      <c r="B32" s="10" t="inlineStr">
        <is>
          <t>- Level of competition</t>
        </is>
      </c>
      <c r="C32" s="50" t="n"/>
      <c r="D32" s="56">
        <f t="array" ref="D32">_xlfn.SWITCH(E32,"+",3,"+/-",2,"-",1)</f>
        <v/>
      </c>
      <c r="E32" s="48" t="inlineStr">
        <is>
          <t>+/-</t>
        </is>
      </c>
      <c r="F32" s="9" t="n"/>
      <c r="G32" s="2" t="inlineStr">
        <is>
          <t>Low</t>
        </is>
      </c>
      <c r="H32" s="2" t="inlineStr">
        <is>
          <t>Some</t>
        </is>
      </c>
      <c r="I32" s="9" t="inlineStr">
        <is>
          <t>High</t>
        </is>
      </c>
      <c r="J32" s="23" t="inlineStr">
        <is>
          <t>Moderate. Each tier-1 metro has 5-15 shops; most metros have 2-5. Master-tech scarcity + reputation moats limit head-to-head price competition. OEM direct-service arms cover major metros but cannot cover long tail or multi-brand fleets.</t>
        </is>
      </c>
    </row>
    <row r="33" ht="12.75" customHeight="1">
      <c r="B33" s="10" t="inlineStr">
        <is>
          <t>- State of new entrants</t>
        </is>
      </c>
      <c r="C33" s="50" t="n"/>
      <c r="D33" s="56">
        <f t="array" ref="D33">_xlfn.SWITCH(E33,"+",3,"+/-",2,"-",1)</f>
        <v/>
      </c>
      <c r="E33" s="48" t="inlineStr">
        <is>
          <t>+</t>
        </is>
      </c>
      <c r="F33" s="9" t="n"/>
      <c r="G33" s="2" t="inlineStr">
        <is>
          <t>Low</t>
        </is>
      </c>
      <c r="H33" s="2" t="inlineStr">
        <is>
          <t>Some</t>
        </is>
      </c>
      <c r="I33" s="9" t="inlineStr">
        <is>
          <t>High</t>
        </is>
      </c>
      <c r="J33" s="23" t="inlineStr">
        <is>
          <t>Low new-entrant threat. Master-tech scarcity is structural. OEM authorization (La Marzocco USA, Slayer Service) gates entry. Local reputation in barista/roaster community takes years to build. Installed-base incumbent advantage.</t>
        </is>
      </c>
    </row>
    <row r="34" ht="12.75" customHeight="1">
      <c r="B34" s="10" t="inlineStr">
        <is>
          <t>- Level of supplier power</t>
        </is>
      </c>
      <c r="C34" s="50" t="n"/>
      <c r="D34" s="56" t="n"/>
      <c r="E34" s="48" t="inlineStr">
        <is>
          <t>N/A</t>
        </is>
      </c>
      <c r="F34" s="9" t="n"/>
      <c r="G34" s="2" t="inlineStr">
        <is>
          <t>Low</t>
        </is>
      </c>
      <c r="H34" s="2" t="inlineStr">
        <is>
          <t>Some</t>
        </is>
      </c>
      <c r="I34" s="9" t="inlineStr">
        <is>
          <t>High</t>
        </is>
      </c>
      <c r="J34" s="23" t="inlineStr">
        <is>
          <t>N/A</t>
        </is>
      </c>
    </row>
    <row r="35" ht="12.75" customHeight="1">
      <c r="B35" s="10" t="inlineStr">
        <is>
          <t>- Level of customer power</t>
        </is>
      </c>
      <c r="C35" s="50" t="n"/>
      <c r="D35" s="56">
        <f t="array" ref="D35">_xlfn.SWITCH(E35,"+",3,"+/-",2,"-",1)</f>
        <v/>
      </c>
      <c r="E35" s="48" t="inlineStr">
        <is>
          <t>+/-</t>
        </is>
      </c>
      <c r="F35" s="9" t="n"/>
      <c r="G35" s="2" t="inlineStr">
        <is>
          <t>Low</t>
        </is>
      </c>
      <c r="H35" s="2" t="inlineStr">
        <is>
          <t>Some</t>
        </is>
      </c>
      <c r="I35" s="9" t="inlineStr">
        <is>
          <t>High</t>
        </is>
      </c>
      <c r="J35" s="23" t="inlineStr">
        <is>
          <t>Power parity at best. Hotel chains and cafe chains (Blue Bottle, Soho House, Aman) can grow into concentration risk. Independent cafe base is diffuse — low individual buyer power but retention is critical. Balance needed.</t>
        </is>
      </c>
    </row>
    <row r="36" ht="12.75" customHeight="1">
      <c r="B36" s="19" t="inlineStr">
        <is>
          <t>- Threat of substitutes</t>
        </is>
      </c>
      <c r="C36" s="51" t="n"/>
      <c r="D36" s="57">
        <f t="array" ref="D36">_xlfn.SWITCH(E36,"+",3,"+/-",2,"-",1)</f>
        <v/>
      </c>
      <c r="E36" s="48" t="inlineStr">
        <is>
          <t>+</t>
        </is>
      </c>
      <c r="F36" s="21" t="n"/>
      <c r="G36" s="20" t="inlineStr">
        <is>
          <t>Low</t>
        </is>
      </c>
      <c r="H36" s="20" t="inlineStr">
        <is>
          <t>Some</t>
        </is>
      </c>
      <c r="I36" s="21" t="inlineStr">
        <is>
          <t>High</t>
        </is>
      </c>
      <c r="J36" s="24" t="inlineStr">
        <is>
          <t>Low substitute threat. Espresso equipment maintenance cannot be replaced by software, cheaper alternatives, or DIY. Self-serve parts (Espresso Parts online) addresses only simple repairs, not master-tech work. Replacement of specialty espresso programs with automatic super-auto machines is cultural/brand-incompatible for high-end venues.</t>
        </is>
      </c>
    </row>
    <row r="37" ht="12.75" customHeight="1">
      <c r="B37" s="4" t="inlineStr">
        <is>
          <t>Value Creation Opportunities</t>
        </is>
      </c>
      <c r="C37" s="49">
        <f>AVERAGE(D38:D39)</f>
        <v/>
      </c>
      <c r="D37" s="15" t="n">
        <v>0.1</v>
      </c>
      <c r="E37" s="8" t="n"/>
      <c r="F37" s="9" t="n"/>
      <c r="I37" s="9" t="n"/>
      <c r="J37" s="23" t="n"/>
    </row>
    <row r="38" ht="12.75" customHeight="1">
      <c r="B38" s="10" t="inlineStr">
        <is>
          <t>- General complexity of businesses</t>
        </is>
      </c>
      <c r="C38" s="50" t="n"/>
      <c r="D38" s="56">
        <f t="array" ref="D38">_xlfn.SWITCH(E38,"+",3,"+/-",2,"-",1)</f>
        <v/>
      </c>
      <c r="E38" s="48" t="inlineStr">
        <is>
          <t>+/-</t>
        </is>
      </c>
      <c r="F38" s="9" t="n"/>
      <c r="G38" s="2" t="inlineStr">
        <is>
          <t>Simple businesses</t>
        </is>
      </c>
      <c r="H38" s="2" t="inlineStr">
        <is>
          <t>Moderate complexity</t>
        </is>
      </c>
      <c r="I38" s="9" t="inlineStr">
        <is>
          <t>Complex businesses</t>
        </is>
      </c>
      <c r="J38" s="23" t="inlineStr">
        <is>
          <t>Moderate complexity. Technical service with master-tech skill dependency. Multi-brand OEM parts sourcing, regional logistics, apprenticeship training programs, customer-account management. Not simple SaaS but not heavy industrial.</t>
        </is>
      </c>
    </row>
    <row r="39" ht="12.75" customHeight="1">
      <c r="B39" s="19" t="inlineStr">
        <is>
          <t>- Professionalization opportunities</t>
        </is>
      </c>
      <c r="C39" s="51" t="n"/>
      <c r="D39" s="57">
        <f t="array" ref="D39">_xlfn.SWITCH(E39,"+",3,"+/-",2,"-",1)</f>
        <v/>
      </c>
      <c r="E39" s="48" t="inlineStr">
        <is>
          <t>+</t>
        </is>
      </c>
      <c r="F39" s="21" t="n"/>
      <c r="G39" s="20" t="inlineStr">
        <is>
          <t>Several actionable levers</t>
        </is>
      </c>
      <c r="H39" s="20" t="inlineStr">
        <is>
          <t>Some actionable levers</t>
        </is>
      </c>
      <c r="I39" s="21" t="inlineStr">
        <is>
          <t>Technical skills required</t>
        </is>
      </c>
      <c r="J39" s="24" t="inlineStr">
        <is>
          <t>Several actionable levers. Route optimization (15-25% tech drive time reduction). Predictive maintenance via sensor data (upsell PM contracts based on usage). Customer self-serve portal. Centralized parts inventory + pricing leverage. Cross-metro knowledge transfer of master-tech best practices.</t>
        </is>
      </c>
    </row>
    <row r="40" ht="12.75" customHeight="1">
      <c r="B40" s="4" t="inlineStr">
        <is>
          <t>Impact and Externalities</t>
        </is>
      </c>
      <c r="C40" s="49">
        <f>AVERAGE(D41:D42)</f>
        <v/>
      </c>
      <c r="D40" s="15" t="n">
        <v>0.05</v>
      </c>
      <c r="E40" s="8" t="n"/>
      <c r="F40" s="9" t="n"/>
      <c r="I40" s="9" t="n"/>
      <c r="J40" s="23" t="n"/>
    </row>
    <row r="41" ht="12.75" customHeight="1">
      <c r="B41" s="10" t="inlineStr">
        <is>
          <t>- Net impact to society</t>
        </is>
      </c>
      <c r="C41" s="50" t="n"/>
      <c r="D41" s="56">
        <f t="array" ref="D41">_xlfn.SWITCH(E41,"+",3,"+/-",2,"-",1)</f>
        <v/>
      </c>
      <c r="E41" s="48" t="inlineStr">
        <is>
          <t>+/-</t>
        </is>
      </c>
      <c r="F41" s="9" t="n"/>
      <c r="G41" s="2" t="inlineStr">
        <is>
          <t>Net positive impact</t>
        </is>
      </c>
      <c r="H41" s="2" t="inlineStr">
        <is>
          <t>Neutral impact</t>
        </is>
      </c>
      <c r="I41" s="9" t="inlineStr">
        <is>
          <t>Net negative impact</t>
        </is>
      </c>
      <c r="J41" s="23" t="inlineStr">
        <is>
          <t>Neutral to modestly positive. Supports high-end hospitality employment (baristas, F&amp;B staff at venues served). Specialty coffee consumption itself is a consumer preference, not a societal good or harm.</t>
        </is>
      </c>
    </row>
    <row r="42" ht="12.75" customHeight="1">
      <c r="B42" s="11" t="inlineStr">
        <is>
          <t>- Positive or negative externalities</t>
        </is>
      </c>
      <c r="C42" s="52" t="n"/>
      <c r="D42" s="56">
        <f t="array" ref="D42">_xlfn.SWITCH(E42,"+",3,"+/-",2,"-",1)</f>
        <v/>
      </c>
      <c r="E42" s="48" t="inlineStr">
        <is>
          <t>+/-</t>
        </is>
      </c>
      <c r="F42" s="13" t="n"/>
      <c r="G42" s="12" t="inlineStr">
        <is>
          <t>Positive externalities</t>
        </is>
      </c>
      <c r="H42" s="12" t="inlineStr">
        <is>
          <t>Neutral externalities</t>
        </is>
      </c>
      <c r="I42" s="13" t="inlineStr">
        <is>
          <t>Negative externalities</t>
        </is>
      </c>
      <c r="J42" s="25" t="inlineStr">
        <is>
          <t>Neutral. Equipment extends useful life through service (positive reuse/circularity). Coffee supply chain externalities are upstream (roasters, farmers), not service layer.</t>
        </is>
      </c>
    </row>
    <row r="43">
      <c r="B43" s="14" t="inlineStr">
        <is>
          <t>Total Score</t>
        </is>
      </c>
      <c r="C43" s="49">
        <f>SUMPRODUCT(C8:C42,D8:D42)</f>
        <v/>
      </c>
      <c r="D43" s="18" t="inlineStr">
        <is>
          <t>Commentary: Passes Initial Screen with flags (margin baseline and TAM scope caveats). Strong scorecard. Demand-abundant, cost-heavy, AI-attackable profile. International-OEM structure (Italian/European manufacturers reliant on authorized dealer networks) provides durable moat against direct-disintermediation pattern that undermines adjacent equipment-service categories. Service is physical, AI-resistant, majority recurring. Primary residual risks: master-tech talent constraint, customer concentration in hotel/cafe chain accounts, and hybrid OEM-direct risk in US-origin OEMs (Synesso, Modbar). Recommend advancing to Active-Outreach pending validation calls with 5-10 high-end coffee shop owners + hotel F&amp;B directors + OEM channel-strategy check.</t>
        </is>
      </c>
      <c r="E43" s="18" t="n"/>
      <c r="F43" s="16" t="n"/>
      <c r="G43" s="16" t="n"/>
      <c r="H43" s="16" t="n"/>
      <c r="I43" s="16" t="n"/>
      <c r="J43" s="17" t="n"/>
    </row>
    <row r="44">
      <c r="D44" s="3" t="n"/>
    </row>
    <row r="45" ht="15" customHeight="1">
      <c r="B45" s="35" t="inlineStr">
        <is>
          <t>WW - Company Scorecard</t>
        </is>
      </c>
      <c r="C45" s="36" t="inlineStr">
        <is>
          <t>Score</t>
        </is>
      </c>
      <c r="D45" s="37" t="inlineStr">
        <is>
          <t>Weight</t>
        </is>
      </c>
      <c r="E45" s="38" t="inlineStr">
        <is>
          <t>Evaluation</t>
        </is>
      </c>
      <c r="F45" s="39" t="n"/>
      <c r="G45" s="58" t="inlineStr">
        <is>
          <t>Evaluation</t>
        </is>
      </c>
      <c r="H45" s="59" t="n"/>
      <c r="I45" s="60" t="n"/>
      <c r="J45" s="40" t="inlineStr">
        <is>
          <t>General Commentary / Supporting Data</t>
        </is>
      </c>
    </row>
    <row r="46">
      <c r="B46" s="41" t="n"/>
      <c r="C46" s="42" t="inlineStr">
        <is>
          <t>(1-10)</t>
        </is>
      </c>
      <c r="D46" s="43" t="inlineStr">
        <is>
          <t>(%)</t>
        </is>
      </c>
      <c r="E46" s="44" t="inlineStr">
        <is>
          <t>+/-</t>
        </is>
      </c>
      <c r="F46" s="45" t="n"/>
      <c r="G46" s="44" t="inlineStr">
        <is>
          <t>+</t>
        </is>
      </c>
      <c r="H46" s="44" t="inlineStr">
        <is>
          <t>+/-</t>
        </is>
      </c>
      <c r="I46" s="45" t="inlineStr">
        <is>
          <t>-</t>
        </is>
      </c>
      <c r="J46" s="46" t="n"/>
    </row>
    <row r="47">
      <c r="B47" s="26" t="inlineStr">
        <is>
          <t>Clear Value Proposition &amp; Mission Criticality</t>
        </is>
      </c>
      <c r="C47" s="48" t="n">
        <v>5</v>
      </c>
      <c r="D47" s="27" t="n">
        <v>0.15</v>
      </c>
      <c r="E47" s="48" t="inlineStr">
        <is>
          <t>+/-</t>
        </is>
      </c>
      <c r="F47" s="9" t="n"/>
      <c r="G47" s="2" t="inlineStr">
        <is>
          <t>Clear value proposition; mission critical for primary ICP (IDN, Hospitals, etc)</t>
        </is>
      </c>
      <c r="H47" s="2" t="inlineStr">
        <is>
          <t>Partial clarity; benefits visible but ROI not always evident across segments</t>
        </is>
      </c>
      <c r="I47" s="9" t="inlineStr">
        <is>
          <t>Unclear value or non-mission-critical; easily delayed or cut from budget</t>
        </is>
      </c>
      <c r="J47" s="23" t="inlineStr">
        <is>
          <t>Strong ROI, though not 100% mission critical</t>
        </is>
      </c>
    </row>
    <row r="48">
      <c r="B48" s="26" t="inlineStr">
        <is>
          <t>Market is Hospitable (&amp; Sizeable) to Grow</t>
        </is>
      </c>
      <c r="C48" s="48" t="n">
        <v>5</v>
      </c>
      <c r="D48" s="27" t="n">
        <v>0.15</v>
      </c>
      <c r="E48" s="48" t="inlineStr">
        <is>
          <t>+</t>
        </is>
      </c>
      <c r="F48" s="9" t="n"/>
      <c r="G48" s="2" t="inlineStr">
        <is>
          <t>35% penetration; strong tailwinds</t>
        </is>
      </c>
      <c r="H48" s="2" t="inlineStr">
        <is>
          <t>Growing strong in smaller segments</t>
        </is>
      </c>
      <c r="I48" s="9" t="inlineStr">
        <is>
          <t>Slower growth in larger/target segments</t>
        </is>
      </c>
      <c r="J48" s="23" t="inlineStr">
        <is>
          <t>Underpenetrated market growing &gt;10%</t>
        </is>
      </c>
    </row>
    <row r="49">
      <c r="B49" s="26" t="inlineStr">
        <is>
          <t>Company has a 'Right to Win' at Attractive ICP</t>
        </is>
      </c>
      <c r="C49" s="48" t="n">
        <v>5</v>
      </c>
      <c r="D49" s="27" t="n">
        <v>0.1</v>
      </c>
      <c r="E49" s="48" t="inlineStr">
        <is>
          <t>+</t>
        </is>
      </c>
      <c r="F49" s="9" t="n"/>
      <c r="G49" s="2" t="inlineStr">
        <is>
          <t>Wins frequently; strong fit</t>
        </is>
      </c>
      <c r="H49" s="2" t="inlineStr">
        <is>
          <t>Needs brand elevation or credibility</t>
        </is>
      </c>
      <c r="I49" s="9" t="inlineStr">
        <is>
          <t>Poor ICP fit</t>
        </is>
      </c>
      <c r="J49" s="23" t="inlineStr">
        <is>
          <t>Win/loss ratios of 1/3 or more</t>
        </is>
      </c>
    </row>
    <row r="50">
      <c r="B50" s="26" t="inlineStr">
        <is>
          <t>Company Retains Its Customers</t>
        </is>
      </c>
      <c r="C50" s="48" t="n">
        <v>5</v>
      </c>
      <c r="D50" s="27" t="n">
        <v>0.1</v>
      </c>
      <c r="E50" s="48" t="inlineStr">
        <is>
          <t>+</t>
        </is>
      </c>
      <c r="F50" s="9" t="n"/>
      <c r="G50" s="2" t="inlineStr">
        <is>
          <t>100% gross / 110% net</t>
        </is>
      </c>
      <c r="H50" s="2" t="inlineStr">
        <is>
          <t>95% gross (industry)</t>
        </is>
      </c>
      <c r="I50" s="9" t="inlineStr">
        <is>
          <t>Usage decreases through time or Churn risk</t>
        </is>
      </c>
      <c r="J50" s="23" t="inlineStr">
        <is>
          <t>100% gross retention, 95% industry ret.</t>
        </is>
      </c>
    </row>
    <row r="51">
      <c r="B51" s="26" t="inlineStr">
        <is>
          <t>Revenue Concentration</t>
        </is>
      </c>
      <c r="C51" s="48" t="n">
        <v>5</v>
      </c>
      <c r="D51" s="27" t="n">
        <v>0.1</v>
      </c>
      <c r="E51" s="48" t="inlineStr">
        <is>
          <t>+</t>
        </is>
      </c>
      <c r="F51" s="9" t="n"/>
      <c r="G51" s="2" t="inlineStr">
        <is>
          <t xml:space="preserve">Low customer concentration; diversified	</t>
        </is>
      </c>
      <c r="H51" s="2" t="inlineStr">
        <is>
          <t xml:space="preserve">1–2 customers = 20–30%	</t>
        </is>
      </c>
      <c r="I51" s="9" t="inlineStr">
        <is>
          <t>High concentration &gt;40%</t>
        </is>
      </c>
      <c r="J51" s="23" t="n"/>
    </row>
    <row r="52" ht="15" customHeight="1">
      <c r="B52" s="53" t="inlineStr">
        <is>
          <t>Revenue Predictability (transformation opportunity for value creation)</t>
        </is>
      </c>
      <c r="C52" s="48" t="n">
        <v>5</v>
      </c>
      <c r="D52" s="27" t="n">
        <v>0.1</v>
      </c>
      <c r="E52" s="48" t="n"/>
      <c r="F52" s="9" t="n"/>
      <c r="G52" s="2" t="inlineStr">
        <is>
          <t>Partially recurring today, with clear opportunity to increase or convert to a fully recurring model</t>
        </is>
      </c>
      <c r="H52" s="2" t="inlineStr">
        <is>
          <t>Revenue is already largely recurring (e.g., 80–90% contracted or usage-based), limiting transformation upside</t>
        </is>
      </c>
      <c r="I52" s="9" t="inlineStr">
        <is>
          <t>Fully non-recurring or lumpy project-based revenue; unclear or no path to predictability</t>
        </is>
      </c>
      <c r="J52" s="23" t="n"/>
    </row>
    <row r="53">
      <c r="B53" s="26" t="inlineStr">
        <is>
          <t>Unit Economics are Attractive; Sizeable Co.</t>
        </is>
      </c>
      <c r="C53" s="48" t="n">
        <v>5</v>
      </c>
      <c r="D53" s="27" t="n">
        <v>0.1</v>
      </c>
      <c r="E53" s="48" t="inlineStr">
        <is>
          <t>+/-</t>
        </is>
      </c>
      <c r="F53" s="9" t="n"/>
      <c r="G53" s="2" t="inlineStr">
        <is>
          <t xml:space="preserve">High gross margins; &gt;$5M revenue	</t>
        </is>
      </c>
      <c r="H53" s="2" t="inlineStr">
        <is>
          <t xml:space="preserve">Moderate EBITDA / growing margins	</t>
        </is>
      </c>
      <c r="I53" s="9" t="inlineStr">
        <is>
          <t>Small business; low margins</t>
        </is>
      </c>
      <c r="J53" s="23" t="inlineStr">
        <is>
          <t>~80%/~55% recurring/non-rec gross margin</t>
        </is>
      </c>
    </row>
    <row r="54">
      <c r="B54" s="26" t="inlineStr">
        <is>
          <t>Technology is Sound; Product is Scalable</t>
        </is>
      </c>
      <c r="C54" s="48" t="n">
        <v>5</v>
      </c>
      <c r="D54" s="27" t="n">
        <v>0.05</v>
      </c>
      <c r="E54" s="48" t="inlineStr">
        <is>
          <t>+</t>
        </is>
      </c>
      <c r="F54" s="9" t="n"/>
      <c r="G54" s="2" t="inlineStr">
        <is>
          <t xml:space="preserve">Cloud-native, scalable	</t>
        </is>
      </c>
      <c r="H54" s="2" t="inlineStr">
        <is>
          <t xml:space="preserve">Needs modernization	</t>
        </is>
      </c>
      <c r="I54" s="9" t="inlineStr">
        <is>
          <t>Legacy / unscalable</t>
        </is>
      </c>
      <c r="J54" s="23" t="inlineStr">
        <is>
          <t>Multi-tenant modern SaaS hosted in Azure</t>
        </is>
      </c>
    </row>
    <row r="55">
      <c r="B55" s="26" t="inlineStr">
        <is>
          <t>Valuation</t>
        </is>
      </c>
      <c r="C55" s="48" t="n">
        <v>5</v>
      </c>
      <c r="D55" s="27" t="n">
        <v>0.05</v>
      </c>
      <c r="E55" s="48" t="inlineStr">
        <is>
          <t>+/-</t>
        </is>
      </c>
      <c r="F55" s="9" t="n"/>
      <c r="G55" s="2" t="inlineStr">
        <is>
          <t>Low absolute price (~$10M) or attractive multiple</t>
        </is>
      </c>
      <c r="H55" s="2" t="inlineStr">
        <is>
          <t>Reasonable (~3.5x Revenue)</t>
        </is>
      </c>
      <c r="I55" s="9" t="inlineStr">
        <is>
          <t>High Multiple (~6x ARR) / premium paid</t>
        </is>
      </c>
      <c r="J55" s="23" t="inlineStr">
        <is>
          <t>Paying relatively full price</t>
        </is>
      </c>
    </row>
    <row r="56">
      <c r="B56" s="26" t="inlineStr">
        <is>
          <t>Strong team, seller willingness, &amp;  smooth transition path</t>
        </is>
      </c>
      <c r="C56" s="48" t="n">
        <v>5</v>
      </c>
      <c r="D56" s="27" t="n">
        <v>0.1</v>
      </c>
      <c r="E56" s="48" t="inlineStr">
        <is>
          <t>+/-</t>
        </is>
      </c>
      <c r="G56" s="2" t="inlineStr">
        <is>
          <t xml:space="preserve">Seller ready; strong team	</t>
        </is>
      </c>
      <c r="H56" s="2" t="inlineStr">
        <is>
          <t xml:space="preserve">Needs transition or talent adds	</t>
        </is>
      </c>
      <c r="I56" s="2" t="inlineStr">
        <is>
          <t>Seller unwilling or team weak</t>
        </is>
      </c>
      <c r="J56" s="9" t="n"/>
    </row>
    <row r="57">
      <c r="B57" s="14" t="inlineStr">
        <is>
          <t>Total Score</t>
        </is>
      </c>
      <c r="C57" s="47">
        <f>SUMPRODUCT(C47:C55,D47:D55)</f>
        <v/>
      </c>
      <c r="D57" s="18" t="inlineStr">
        <is>
          <t>Commentary: I would personally give WW a 8 to 8+</t>
        </is>
      </c>
      <c r="E57" s="18" t="n"/>
      <c r="F57" s="16" t="n"/>
      <c r="G57" s="16" t="n"/>
      <c r="H57" s="16" t="n"/>
      <c r="I57" s="16" t="n"/>
      <c r="J57" s="17" t="n"/>
    </row>
    <row r="58">
      <c r="D58" s="3">
        <f>SUM(D47:D56)</f>
        <v/>
      </c>
    </row>
    <row r="59" ht="15" customHeight="1">
      <c r="B59" s="35" t="inlineStr">
        <is>
          <t>WW - Company Scorecard</t>
        </is>
      </c>
      <c r="C59" s="36" t="inlineStr">
        <is>
          <t>Score</t>
        </is>
      </c>
      <c r="D59" s="37" t="inlineStr">
        <is>
          <t>Weight</t>
        </is>
      </c>
      <c r="E59" s="38" t="inlineStr">
        <is>
          <t>Evaluation</t>
        </is>
      </c>
      <c r="F59" s="39" t="n"/>
      <c r="G59" s="58" t="inlineStr">
        <is>
          <t>Evaluation</t>
        </is>
      </c>
      <c r="H59" s="59" t="n"/>
      <c r="I59" s="60" t="n"/>
      <c r="J59" s="40" t="inlineStr">
        <is>
          <t>General Commentary / Supporting Data</t>
        </is>
      </c>
    </row>
    <row r="60">
      <c r="B60" s="41" t="n"/>
      <c r="C60" s="42" t="inlineStr">
        <is>
          <t>(1-10)</t>
        </is>
      </c>
      <c r="D60" s="43" t="inlineStr">
        <is>
          <t>(%)</t>
        </is>
      </c>
      <c r="E60" s="44" t="inlineStr">
        <is>
          <t>+/-</t>
        </is>
      </c>
      <c r="F60" s="45" t="n"/>
      <c r="G60" s="44" t="inlineStr">
        <is>
          <t>+</t>
        </is>
      </c>
      <c r="H60" s="44" t="inlineStr">
        <is>
          <t>+/-</t>
        </is>
      </c>
      <c r="I60" s="45" t="inlineStr">
        <is>
          <t>-</t>
        </is>
      </c>
      <c r="J60" s="46" t="n"/>
    </row>
    <row r="61">
      <c r="B61" s="26" t="inlineStr">
        <is>
          <t>Clear Value Proposition &amp; Mission Criticality</t>
        </is>
      </c>
      <c r="C61" s="48" t="n">
        <v>5</v>
      </c>
      <c r="D61" s="27" t="n">
        <v>0.15</v>
      </c>
      <c r="E61" s="48" t="inlineStr">
        <is>
          <t>+/-</t>
        </is>
      </c>
      <c r="F61" s="9" t="n"/>
      <c r="G61" s="2" t="inlineStr">
        <is>
          <t>Clear value proposition; mission critical for primary ICP (IDN, Hospitals, etc)</t>
        </is>
      </c>
      <c r="H61" s="2" t="inlineStr">
        <is>
          <t>Partial clarity; benefits visible but ROI not always evident across segments</t>
        </is>
      </c>
      <c r="I61" s="9" t="inlineStr">
        <is>
          <t>Unclear value or non-mission-critical; easily delayed or cut from budget</t>
        </is>
      </c>
      <c r="J61" s="23" t="inlineStr">
        <is>
          <t>Strong ROI, though not 100% mission critical</t>
        </is>
      </c>
    </row>
    <row r="62">
      <c r="B62" s="26" t="inlineStr">
        <is>
          <t>Market is Hospitable (&amp; Sizeable) to Grow</t>
        </is>
      </c>
      <c r="C62" s="48" t="n">
        <v>5</v>
      </c>
      <c r="D62" s="27" t="n">
        <v>0.15</v>
      </c>
      <c r="E62" s="48" t="inlineStr">
        <is>
          <t>+</t>
        </is>
      </c>
      <c r="F62" s="9" t="n"/>
      <c r="G62" s="2" t="inlineStr">
        <is>
          <t>35% penetration; strong tailwinds</t>
        </is>
      </c>
      <c r="H62" s="2" t="inlineStr">
        <is>
          <t>Growing strong in smaller segments</t>
        </is>
      </c>
      <c r="I62" s="9" t="inlineStr">
        <is>
          <t>Slower growth in larger/target segments</t>
        </is>
      </c>
      <c r="J62" s="23" t="inlineStr">
        <is>
          <t>Underpenetrated market growing &gt;10%</t>
        </is>
      </c>
    </row>
    <row r="63">
      <c r="B63" s="26" t="inlineStr">
        <is>
          <t>Company has a 'Right to Win' at Attractive ICP</t>
        </is>
      </c>
      <c r="C63" s="48" t="n">
        <v>5</v>
      </c>
      <c r="D63" s="27" t="n">
        <v>0.1</v>
      </c>
      <c r="E63" s="48" t="inlineStr">
        <is>
          <t>+</t>
        </is>
      </c>
      <c r="F63" s="9" t="n"/>
      <c r="G63" s="2" t="inlineStr">
        <is>
          <t>Wins frequently; strong fit</t>
        </is>
      </c>
      <c r="H63" s="2" t="inlineStr">
        <is>
          <t>Needs brand elevation or credibility</t>
        </is>
      </c>
      <c r="I63" s="9" t="inlineStr">
        <is>
          <t>Poor ICP fit</t>
        </is>
      </c>
      <c r="J63" s="23" t="inlineStr">
        <is>
          <t>Win/loss ratios of 1/3 or more</t>
        </is>
      </c>
    </row>
    <row r="64">
      <c r="B64" s="26" t="inlineStr">
        <is>
          <t>Company Retains Its Customers</t>
        </is>
      </c>
      <c r="C64" s="48" t="n">
        <v>5</v>
      </c>
      <c r="D64" s="27" t="n">
        <v>0.1</v>
      </c>
      <c r="E64" s="48" t="inlineStr">
        <is>
          <t>+</t>
        </is>
      </c>
      <c r="F64" s="9" t="n"/>
      <c r="G64" s="2" t="inlineStr">
        <is>
          <t>100% gross / 110% net</t>
        </is>
      </c>
      <c r="H64" s="2" t="inlineStr">
        <is>
          <t>95% gross (industry)</t>
        </is>
      </c>
      <c r="I64" s="9" t="inlineStr">
        <is>
          <t>Usage decreases through time or Churn risk</t>
        </is>
      </c>
      <c r="J64" s="23" t="inlineStr">
        <is>
          <t>100% gross retention, 95% industry ret.</t>
        </is>
      </c>
    </row>
    <row r="65">
      <c r="B65" s="26" t="inlineStr">
        <is>
          <t>Revenue Concentration</t>
        </is>
      </c>
      <c r="C65" s="48" t="n">
        <v>5</v>
      </c>
      <c r="D65" s="27" t="n">
        <v>0.1</v>
      </c>
      <c r="E65" s="48" t="inlineStr">
        <is>
          <t>+</t>
        </is>
      </c>
      <c r="F65" s="9" t="n"/>
      <c r="G65" s="2" t="inlineStr">
        <is>
          <t xml:space="preserve">Low customer concentration; diversified	</t>
        </is>
      </c>
      <c r="H65" s="2" t="inlineStr">
        <is>
          <t xml:space="preserve">1–2 customers = 20–30%	</t>
        </is>
      </c>
      <c r="I65" s="9" t="inlineStr">
        <is>
          <t>High concentration &gt;40%</t>
        </is>
      </c>
      <c r="J65" s="23" t="n"/>
    </row>
    <row r="66" ht="15" customHeight="1">
      <c r="B66" s="53" t="inlineStr">
        <is>
          <t>Revenue Predictability (transformation opportunity for value creation)</t>
        </is>
      </c>
      <c r="C66" s="48" t="n">
        <v>5</v>
      </c>
      <c r="D66" s="27" t="n">
        <v>0.1</v>
      </c>
      <c r="E66" s="48" t="n"/>
      <c r="F66" s="9" t="n"/>
      <c r="G66" s="2" t="inlineStr">
        <is>
          <t>Partially recurring today, with clear opportunity to increase or convert to a fully recurring model</t>
        </is>
      </c>
      <c r="H66" s="2" t="inlineStr">
        <is>
          <t>Revenue is already largely recurring (e.g., 80–90% contracted or usage-based), limiting transformation upside</t>
        </is>
      </c>
      <c r="I66" s="9" t="inlineStr">
        <is>
          <t>Fully non-recurring or lumpy project-based revenue; unclear or no path to predictability</t>
        </is>
      </c>
      <c r="J66" s="23" t="n"/>
    </row>
    <row r="67">
      <c r="B67" s="26" t="inlineStr">
        <is>
          <t>Unit Economics are Attractive; Sizeable Co.</t>
        </is>
      </c>
      <c r="C67" s="48" t="n">
        <v>5</v>
      </c>
      <c r="D67" s="27" t="n">
        <v>0.1</v>
      </c>
      <c r="E67" s="48" t="inlineStr">
        <is>
          <t>+/-</t>
        </is>
      </c>
      <c r="F67" s="9" t="n"/>
      <c r="G67" s="2" t="inlineStr">
        <is>
          <t xml:space="preserve">High gross margins; &gt;$5M revenue	</t>
        </is>
      </c>
      <c r="H67" s="2" t="inlineStr">
        <is>
          <t xml:space="preserve">Moderate EBITDA / growing margins	</t>
        </is>
      </c>
      <c r="I67" s="9" t="inlineStr">
        <is>
          <t>Small business; low margins</t>
        </is>
      </c>
      <c r="J67" s="23" t="inlineStr">
        <is>
          <t>~80%/~55% recurring/non-rec gross margin</t>
        </is>
      </c>
    </row>
    <row r="68">
      <c r="B68" s="26" t="inlineStr">
        <is>
          <t>Technology is Sound; Product is Scalable</t>
        </is>
      </c>
      <c r="C68" s="48" t="n">
        <v>5</v>
      </c>
      <c r="D68" s="27" t="n">
        <v>0.05</v>
      </c>
      <c r="E68" s="48" t="inlineStr">
        <is>
          <t>+</t>
        </is>
      </c>
      <c r="F68" s="9" t="n"/>
      <c r="G68" s="2" t="inlineStr">
        <is>
          <t xml:space="preserve">Cloud-native, scalable	</t>
        </is>
      </c>
      <c r="H68" s="2" t="inlineStr">
        <is>
          <t xml:space="preserve">Needs modernization	</t>
        </is>
      </c>
      <c r="I68" s="9" t="inlineStr">
        <is>
          <t>Legacy / unscalable</t>
        </is>
      </c>
      <c r="J68" s="23" t="inlineStr">
        <is>
          <t>Multi-tenant modern SaaS hosted in Azure</t>
        </is>
      </c>
    </row>
    <row r="69">
      <c r="B69" s="26" t="inlineStr">
        <is>
          <t>Valuation</t>
        </is>
      </c>
      <c r="C69" s="48" t="n">
        <v>5</v>
      </c>
      <c r="D69" s="27" t="n">
        <v>0.05</v>
      </c>
      <c r="E69" s="48" t="inlineStr">
        <is>
          <t>+/-</t>
        </is>
      </c>
      <c r="F69" s="9" t="n"/>
      <c r="G69" s="2" t="inlineStr">
        <is>
          <t>Low absolute price (~$10M) or attractive multiple</t>
        </is>
      </c>
      <c r="H69" s="2" t="inlineStr">
        <is>
          <t>Reasonable (~3.5x Revenue)</t>
        </is>
      </c>
      <c r="I69" s="9" t="inlineStr">
        <is>
          <t>High Multiple (~6x ARR) / premium paid</t>
        </is>
      </c>
      <c r="J69" s="23" t="inlineStr">
        <is>
          <t>Paying relatively full price</t>
        </is>
      </c>
    </row>
    <row r="70">
      <c r="B70" s="26" t="inlineStr">
        <is>
          <t>Strong team, seller willingness, &amp;  smooth transition path</t>
        </is>
      </c>
      <c r="C70" s="48" t="n">
        <v>5</v>
      </c>
      <c r="D70" s="27" t="n">
        <v>0.1</v>
      </c>
      <c r="E70" s="48" t="inlineStr">
        <is>
          <t>+/-</t>
        </is>
      </c>
      <c r="G70" s="2" t="inlineStr">
        <is>
          <t xml:space="preserve">Seller ready; strong team	</t>
        </is>
      </c>
      <c r="H70" s="2" t="inlineStr">
        <is>
          <t xml:space="preserve">Needs transition or talent adds	</t>
        </is>
      </c>
      <c r="I70" s="2" t="inlineStr">
        <is>
          <t>Seller unwilling or team weak</t>
        </is>
      </c>
      <c r="J70" s="9" t="n"/>
    </row>
    <row r="71">
      <c r="B71" s="14" t="inlineStr">
        <is>
          <t>Total Score</t>
        </is>
      </c>
      <c r="C71" s="47">
        <f>SUMPRODUCT(C61:C69,D61:D69)</f>
        <v/>
      </c>
      <c r="D71" s="18" t="inlineStr">
        <is>
          <t>Commentary: I would personally give WW a 8 to 8+</t>
        </is>
      </c>
      <c r="E71" s="18" t="n"/>
      <c r="F71" s="16" t="n"/>
      <c r="G71" s="16" t="n"/>
      <c r="H71" s="16" t="n"/>
      <c r="I71" s="16" t="n"/>
      <c r="J71" s="17" t="n"/>
    </row>
    <row r="72">
      <c r="D72" s="3">
        <f>SUM(D61:D70)</f>
        <v/>
      </c>
    </row>
    <row r="73" ht="15" customHeight="1">
      <c r="B73" s="35" t="inlineStr">
        <is>
          <t>WW - Company Scorecard</t>
        </is>
      </c>
      <c r="C73" s="36" t="inlineStr">
        <is>
          <t>Score</t>
        </is>
      </c>
      <c r="D73" s="37" t="inlineStr">
        <is>
          <t>Weight</t>
        </is>
      </c>
      <c r="E73" s="38" t="inlineStr">
        <is>
          <t>Evaluation</t>
        </is>
      </c>
      <c r="F73" s="39" t="n"/>
      <c r="G73" s="58" t="inlineStr">
        <is>
          <t>Evaluation</t>
        </is>
      </c>
      <c r="H73" s="59" t="n"/>
      <c r="I73" s="60" t="n"/>
      <c r="J73" s="40" t="inlineStr">
        <is>
          <t>General Commentary / Supporting Data</t>
        </is>
      </c>
    </row>
    <row r="74">
      <c r="B74" s="41" t="n"/>
      <c r="C74" s="42" t="inlineStr">
        <is>
          <t>(1-10)</t>
        </is>
      </c>
      <c r="D74" s="43" t="inlineStr">
        <is>
          <t>(%)</t>
        </is>
      </c>
      <c r="E74" s="44" t="inlineStr">
        <is>
          <t>+/-</t>
        </is>
      </c>
      <c r="F74" s="45" t="n"/>
      <c r="G74" s="44" t="inlineStr">
        <is>
          <t>+</t>
        </is>
      </c>
      <c r="H74" s="44" t="inlineStr">
        <is>
          <t>+/-</t>
        </is>
      </c>
      <c r="I74" s="45" t="inlineStr">
        <is>
          <t>-</t>
        </is>
      </c>
      <c r="J74" s="46" t="n"/>
    </row>
    <row r="75">
      <c r="B75" s="26" t="inlineStr">
        <is>
          <t>Clear Value Proposition &amp; Mission Criticality</t>
        </is>
      </c>
      <c r="C75" s="48" t="n">
        <v>5</v>
      </c>
      <c r="D75" s="27" t="n">
        <v>0.15</v>
      </c>
      <c r="E75" s="48" t="inlineStr">
        <is>
          <t>+/-</t>
        </is>
      </c>
      <c r="F75" s="9" t="n"/>
      <c r="G75" s="2" t="inlineStr">
        <is>
          <t>Clear value proposition; mission critical for primary ICP (IDN, Hospitals, etc)</t>
        </is>
      </c>
      <c r="H75" s="2" t="inlineStr">
        <is>
          <t>Partial clarity; benefits visible but ROI not always evident across segments</t>
        </is>
      </c>
      <c r="I75" s="9" t="inlineStr">
        <is>
          <t>Unclear value or non-mission-critical; easily delayed or cut from budget</t>
        </is>
      </c>
      <c r="J75" s="23" t="inlineStr">
        <is>
          <t>Strong ROI, though not 100% mission critical</t>
        </is>
      </c>
    </row>
    <row r="76">
      <c r="B76" s="26" t="inlineStr">
        <is>
          <t>Market is Hospitable (&amp; Sizeable) to Grow</t>
        </is>
      </c>
      <c r="C76" s="48" t="n">
        <v>5</v>
      </c>
      <c r="D76" s="27" t="n">
        <v>0.15</v>
      </c>
      <c r="E76" s="48" t="inlineStr">
        <is>
          <t>+</t>
        </is>
      </c>
      <c r="F76" s="9" t="n"/>
      <c r="G76" s="2" t="inlineStr">
        <is>
          <t>35% penetration; strong tailwinds</t>
        </is>
      </c>
      <c r="H76" s="2" t="inlineStr">
        <is>
          <t>Growing strong in smaller segments</t>
        </is>
      </c>
      <c r="I76" s="9" t="inlineStr">
        <is>
          <t>Slower growth in larger/target segments</t>
        </is>
      </c>
      <c r="J76" s="23" t="inlineStr">
        <is>
          <t>Underpenetrated market growing &gt;10%</t>
        </is>
      </c>
    </row>
    <row r="77">
      <c r="B77" s="26" t="inlineStr">
        <is>
          <t>Company has a 'Right to Win' at Attractive ICP</t>
        </is>
      </c>
      <c r="C77" s="48" t="n">
        <v>5</v>
      </c>
      <c r="D77" s="27" t="n">
        <v>0.1</v>
      </c>
      <c r="E77" s="48" t="inlineStr">
        <is>
          <t>+</t>
        </is>
      </c>
      <c r="F77" s="9" t="n"/>
      <c r="G77" s="2" t="inlineStr">
        <is>
          <t>Wins frequently; strong fit</t>
        </is>
      </c>
      <c r="H77" s="2" t="inlineStr">
        <is>
          <t>Needs brand elevation or credibility</t>
        </is>
      </c>
      <c r="I77" s="9" t="inlineStr">
        <is>
          <t>Poor ICP fit</t>
        </is>
      </c>
      <c r="J77" s="23" t="inlineStr">
        <is>
          <t>Win/loss ratios of 1/3 or more</t>
        </is>
      </c>
    </row>
    <row r="78">
      <c r="B78" s="26" t="inlineStr">
        <is>
          <t>Company Retains Its Customers</t>
        </is>
      </c>
      <c r="C78" s="48" t="n">
        <v>5</v>
      </c>
      <c r="D78" s="27" t="n">
        <v>0.1</v>
      </c>
      <c r="E78" s="48" t="inlineStr">
        <is>
          <t>+</t>
        </is>
      </c>
      <c r="F78" s="9" t="n"/>
      <c r="G78" s="2" t="inlineStr">
        <is>
          <t>100% gross / 110% net</t>
        </is>
      </c>
      <c r="H78" s="2" t="inlineStr">
        <is>
          <t>95% gross (industry)</t>
        </is>
      </c>
      <c r="I78" s="9" t="inlineStr">
        <is>
          <t>Usage decreases through time or Churn risk</t>
        </is>
      </c>
      <c r="J78" s="23" t="inlineStr">
        <is>
          <t>100% gross retention, 95% industry ret.</t>
        </is>
      </c>
    </row>
    <row r="79">
      <c r="B79" s="26" t="inlineStr">
        <is>
          <t>Revenue Concentration</t>
        </is>
      </c>
      <c r="C79" s="48" t="n">
        <v>5</v>
      </c>
      <c r="D79" s="27" t="n">
        <v>0.1</v>
      </c>
      <c r="E79" s="48" t="inlineStr">
        <is>
          <t>+</t>
        </is>
      </c>
      <c r="F79" s="9" t="n"/>
      <c r="G79" s="2" t="inlineStr">
        <is>
          <t xml:space="preserve">Low customer concentration; diversified	</t>
        </is>
      </c>
      <c r="H79" s="2" t="inlineStr">
        <is>
          <t xml:space="preserve">1–2 customers = 20–30%	</t>
        </is>
      </c>
      <c r="I79" s="9" t="inlineStr">
        <is>
          <t>High concentration &gt;40%</t>
        </is>
      </c>
      <c r="J79" s="23" t="n"/>
    </row>
    <row r="80" ht="15" customHeight="1">
      <c r="B80" s="53" t="inlineStr">
        <is>
          <t>Revenue Predictability (transformation opportunity for value creation)</t>
        </is>
      </c>
      <c r="C80" s="48" t="n">
        <v>5</v>
      </c>
      <c r="D80" s="27" t="n">
        <v>0.1</v>
      </c>
      <c r="E80" s="48" t="n"/>
      <c r="F80" s="9" t="n"/>
      <c r="G80" s="2" t="inlineStr">
        <is>
          <t>Partially recurring today, with clear opportunity to increase or convert to a fully recurring model</t>
        </is>
      </c>
      <c r="H80" s="2" t="inlineStr">
        <is>
          <t>Revenue is already largely recurring (e.g., 80–90% contracted or usage-based), limiting transformation upside</t>
        </is>
      </c>
      <c r="I80" s="9" t="inlineStr">
        <is>
          <t>Fully non-recurring or lumpy project-based revenue; unclear or no path to predictability</t>
        </is>
      </c>
      <c r="J80" s="23" t="n"/>
    </row>
    <row r="81">
      <c r="B81" s="26" t="inlineStr">
        <is>
          <t>Unit Economics are Attractive; Sizeable Co.</t>
        </is>
      </c>
      <c r="C81" s="48" t="n">
        <v>5</v>
      </c>
      <c r="D81" s="27" t="n">
        <v>0.1</v>
      </c>
      <c r="E81" s="48" t="inlineStr">
        <is>
          <t>+/-</t>
        </is>
      </c>
      <c r="F81" s="9" t="n"/>
      <c r="G81" s="2" t="inlineStr">
        <is>
          <t xml:space="preserve">High gross margins; &gt;$5M revenue	</t>
        </is>
      </c>
      <c r="H81" s="2" t="inlineStr">
        <is>
          <t xml:space="preserve">Moderate EBITDA / growing margins	</t>
        </is>
      </c>
      <c r="I81" s="9" t="inlineStr">
        <is>
          <t>Small business; low margins</t>
        </is>
      </c>
      <c r="J81" s="23" t="inlineStr">
        <is>
          <t>~80%/~55% recurring/non-rec gross margin</t>
        </is>
      </c>
    </row>
    <row r="82">
      <c r="B82" s="26" t="inlineStr">
        <is>
          <t>Technology is Sound; Product is Scalable</t>
        </is>
      </c>
      <c r="C82" s="48" t="n">
        <v>5</v>
      </c>
      <c r="D82" s="27" t="n">
        <v>0.05</v>
      </c>
      <c r="E82" s="48" t="inlineStr">
        <is>
          <t>+</t>
        </is>
      </c>
      <c r="F82" s="9" t="n"/>
      <c r="G82" s="2" t="inlineStr">
        <is>
          <t xml:space="preserve">Cloud-native, scalable	</t>
        </is>
      </c>
      <c r="H82" s="2" t="inlineStr">
        <is>
          <t xml:space="preserve">Needs modernization	</t>
        </is>
      </c>
      <c r="I82" s="9" t="inlineStr">
        <is>
          <t>Legacy / unscalable</t>
        </is>
      </c>
      <c r="J82" s="23" t="inlineStr">
        <is>
          <t>Multi-tenant modern SaaS hosted in Azure</t>
        </is>
      </c>
    </row>
    <row r="83">
      <c r="B83" s="26" t="inlineStr">
        <is>
          <t>Valuation</t>
        </is>
      </c>
      <c r="C83" s="48" t="n">
        <v>5</v>
      </c>
      <c r="D83" s="27" t="n">
        <v>0.05</v>
      </c>
      <c r="E83" s="48" t="inlineStr">
        <is>
          <t>+/-</t>
        </is>
      </c>
      <c r="F83" s="9" t="n"/>
      <c r="G83" s="2" t="inlineStr">
        <is>
          <t>Low absolute price (~$10M) or attractive multiple</t>
        </is>
      </c>
      <c r="H83" s="2" t="inlineStr">
        <is>
          <t>Reasonable (~3.5x Revenue)</t>
        </is>
      </c>
      <c r="I83" s="9" t="inlineStr">
        <is>
          <t>High Multiple (~6x ARR) / premium paid</t>
        </is>
      </c>
      <c r="J83" s="23" t="inlineStr">
        <is>
          <t>Paying relatively full price</t>
        </is>
      </c>
    </row>
    <row r="84">
      <c r="B84" s="26" t="inlineStr">
        <is>
          <t>Strong team, seller willingness, &amp;  smooth transition path</t>
        </is>
      </c>
      <c r="C84" s="48" t="n">
        <v>5</v>
      </c>
      <c r="D84" s="27" t="n">
        <v>0.1</v>
      </c>
      <c r="E84" s="48" t="inlineStr">
        <is>
          <t>+/-</t>
        </is>
      </c>
      <c r="G84" s="2" t="inlineStr">
        <is>
          <t xml:space="preserve">Seller ready; strong team	</t>
        </is>
      </c>
      <c r="H84" s="2" t="inlineStr">
        <is>
          <t xml:space="preserve">Needs transition or talent adds	</t>
        </is>
      </c>
      <c r="I84" s="2" t="inlineStr">
        <is>
          <t>Seller unwilling or team weak</t>
        </is>
      </c>
      <c r="J84" s="9" t="n"/>
    </row>
    <row r="85">
      <c r="B85" s="14" t="inlineStr">
        <is>
          <t>Total Score</t>
        </is>
      </c>
      <c r="C85" s="47">
        <f>SUMPRODUCT(C75:C83,D75:D83)</f>
        <v/>
      </c>
      <c r="D85" s="18" t="inlineStr">
        <is>
          <t>Commentary: I would personally give WW a 8 to 8+</t>
        </is>
      </c>
      <c r="E85" s="18" t="n"/>
      <c r="F85" s="16" t="n"/>
      <c r="G85" s="16" t="n"/>
      <c r="H85" s="16" t="n"/>
      <c r="I85" s="16" t="n"/>
      <c r="J85" s="17" t="n"/>
    </row>
    <row r="86">
      <c r="D86" s="3">
        <f>SUM(D75:D84)</f>
        <v/>
      </c>
    </row>
    <row r="87" ht="15" customHeight="1">
      <c r="B87" s="35" t="inlineStr">
        <is>
          <t>WW - Company Scorecard</t>
        </is>
      </c>
      <c r="C87" s="36" t="inlineStr">
        <is>
          <t>Score</t>
        </is>
      </c>
      <c r="D87" s="37" t="inlineStr">
        <is>
          <t>Weight</t>
        </is>
      </c>
      <c r="E87" s="38" t="inlineStr">
        <is>
          <t>Evaluation</t>
        </is>
      </c>
      <c r="F87" s="39" t="n"/>
      <c r="G87" s="58" t="inlineStr">
        <is>
          <t>Evaluation</t>
        </is>
      </c>
      <c r="H87" s="59" t="n"/>
      <c r="I87" s="60" t="n"/>
      <c r="J87" s="40" t="inlineStr">
        <is>
          <t>General Commentary / Supporting Data</t>
        </is>
      </c>
    </row>
    <row r="88">
      <c r="B88" s="41" t="n"/>
      <c r="C88" s="42" t="inlineStr">
        <is>
          <t>(1-10)</t>
        </is>
      </c>
      <c r="D88" s="43" t="inlineStr">
        <is>
          <t>(%)</t>
        </is>
      </c>
      <c r="E88" s="44" t="inlineStr">
        <is>
          <t>+/-</t>
        </is>
      </c>
      <c r="F88" s="45" t="n"/>
      <c r="G88" s="44" t="inlineStr">
        <is>
          <t>+</t>
        </is>
      </c>
      <c r="H88" s="44" t="inlineStr">
        <is>
          <t>+/-</t>
        </is>
      </c>
      <c r="I88" s="45" t="inlineStr">
        <is>
          <t>-</t>
        </is>
      </c>
      <c r="J88" s="46" t="n"/>
    </row>
    <row r="89">
      <c r="B89" s="26" t="inlineStr">
        <is>
          <t>Clear Value Proposition &amp; Mission Criticality</t>
        </is>
      </c>
      <c r="C89" s="48" t="n">
        <v>5</v>
      </c>
      <c r="D89" s="27" t="n">
        <v>0.15</v>
      </c>
      <c r="E89" s="48" t="inlineStr">
        <is>
          <t>+/-</t>
        </is>
      </c>
      <c r="F89" s="9" t="n"/>
      <c r="G89" s="2" t="inlineStr">
        <is>
          <t>Clear value proposition; mission critical for primary ICP (IDN, Hospitals, etc)</t>
        </is>
      </c>
      <c r="H89" s="2" t="inlineStr">
        <is>
          <t>Partial clarity; benefits visible but ROI not always evident across segments</t>
        </is>
      </c>
      <c r="I89" s="9" t="inlineStr">
        <is>
          <t>Unclear value or non-mission-critical; easily delayed or cut from budget</t>
        </is>
      </c>
      <c r="J89" s="23" t="inlineStr">
        <is>
          <t>Strong ROI, though not 100% mission critical</t>
        </is>
      </c>
    </row>
    <row r="90">
      <c r="B90" s="26" t="inlineStr">
        <is>
          <t>Market is Hospitable (&amp; Sizeable) to Grow</t>
        </is>
      </c>
      <c r="C90" s="48" t="n">
        <v>5</v>
      </c>
      <c r="D90" s="27" t="n">
        <v>0.15</v>
      </c>
      <c r="E90" s="48" t="inlineStr">
        <is>
          <t>+</t>
        </is>
      </c>
      <c r="F90" s="9" t="n"/>
      <c r="G90" s="2" t="inlineStr">
        <is>
          <t>35% penetration; strong tailwinds</t>
        </is>
      </c>
      <c r="H90" s="2" t="inlineStr">
        <is>
          <t>Growing strong in smaller segments</t>
        </is>
      </c>
      <c r="I90" s="9" t="inlineStr">
        <is>
          <t>Slower growth in larger/target segments</t>
        </is>
      </c>
      <c r="J90" s="23" t="inlineStr">
        <is>
          <t>Underpenetrated market growing &gt;10%</t>
        </is>
      </c>
    </row>
    <row r="91">
      <c r="B91" s="26" t="inlineStr">
        <is>
          <t>Company has a 'Right to Win' at Attractive ICP</t>
        </is>
      </c>
      <c r="C91" s="48" t="n">
        <v>5</v>
      </c>
      <c r="D91" s="27" t="n">
        <v>0.1</v>
      </c>
      <c r="E91" s="48" t="inlineStr">
        <is>
          <t>+</t>
        </is>
      </c>
      <c r="F91" s="9" t="n"/>
      <c r="G91" s="2" t="inlineStr">
        <is>
          <t>Wins frequently; strong fit</t>
        </is>
      </c>
      <c r="H91" s="2" t="inlineStr">
        <is>
          <t>Needs brand elevation or credibility</t>
        </is>
      </c>
      <c r="I91" s="9" t="inlineStr">
        <is>
          <t>Poor ICP fit</t>
        </is>
      </c>
      <c r="J91" s="23" t="inlineStr">
        <is>
          <t>Win/loss ratios of 1/3 or more</t>
        </is>
      </c>
    </row>
    <row r="92">
      <c r="B92" s="26" t="inlineStr">
        <is>
          <t>Company Retains Its Customers</t>
        </is>
      </c>
      <c r="C92" s="48" t="n">
        <v>5</v>
      </c>
      <c r="D92" s="27" t="n">
        <v>0.1</v>
      </c>
      <c r="E92" s="48" t="inlineStr">
        <is>
          <t>+</t>
        </is>
      </c>
      <c r="F92" s="9" t="n"/>
      <c r="G92" s="2" t="inlineStr">
        <is>
          <t>100% gross / 110% net</t>
        </is>
      </c>
      <c r="H92" s="2" t="inlineStr">
        <is>
          <t>95% gross (industry)</t>
        </is>
      </c>
      <c r="I92" s="9" t="inlineStr">
        <is>
          <t>Usage decreases through time or Churn risk</t>
        </is>
      </c>
      <c r="J92" s="23" t="inlineStr">
        <is>
          <t>100% gross retention, 95% industry ret.</t>
        </is>
      </c>
    </row>
    <row r="93">
      <c r="B93" s="26" t="inlineStr">
        <is>
          <t>Revenue Concentration</t>
        </is>
      </c>
      <c r="C93" s="48" t="n">
        <v>5</v>
      </c>
      <c r="D93" s="27" t="n">
        <v>0.1</v>
      </c>
      <c r="E93" s="48" t="inlineStr">
        <is>
          <t>+</t>
        </is>
      </c>
      <c r="F93" s="9" t="n"/>
      <c r="G93" s="2" t="inlineStr">
        <is>
          <t xml:space="preserve">Low customer concentration; diversified	</t>
        </is>
      </c>
      <c r="H93" s="2" t="inlineStr">
        <is>
          <t xml:space="preserve">1–2 customers = 20–30%	</t>
        </is>
      </c>
      <c r="I93" s="9" t="inlineStr">
        <is>
          <t>High concentration &gt;40%</t>
        </is>
      </c>
      <c r="J93" s="23" t="n"/>
    </row>
    <row r="94" ht="15" customHeight="1">
      <c r="B94" s="53" t="inlineStr">
        <is>
          <t>Revenue Predictability (transformation opportunity for value creation)</t>
        </is>
      </c>
      <c r="C94" s="48" t="n">
        <v>5</v>
      </c>
      <c r="D94" s="27" t="n">
        <v>0.1</v>
      </c>
      <c r="E94" s="48" t="n"/>
      <c r="F94" s="9" t="n"/>
      <c r="G94" s="2" t="inlineStr">
        <is>
          <t>Partially recurring today, with clear opportunity to increase or convert to a fully recurring model</t>
        </is>
      </c>
      <c r="H94" s="2" t="inlineStr">
        <is>
          <t>Revenue is already largely recurring (e.g., 80–90% contracted or usage-based), limiting transformation upside</t>
        </is>
      </c>
      <c r="I94" s="9" t="inlineStr">
        <is>
          <t>Fully non-recurring or lumpy project-based revenue; unclear or no path to predictability</t>
        </is>
      </c>
      <c r="J94" s="23" t="n"/>
    </row>
    <row r="95">
      <c r="B95" s="26" t="inlineStr">
        <is>
          <t>Unit Economics are Attractive; Sizeable Co.</t>
        </is>
      </c>
      <c r="C95" s="48" t="n">
        <v>5</v>
      </c>
      <c r="D95" s="27" t="n">
        <v>0.1</v>
      </c>
      <c r="E95" s="48" t="inlineStr">
        <is>
          <t>+/-</t>
        </is>
      </c>
      <c r="F95" s="9" t="n"/>
      <c r="G95" s="2" t="inlineStr">
        <is>
          <t xml:space="preserve">High gross margins; &gt;$5M revenue	</t>
        </is>
      </c>
      <c r="H95" s="2" t="inlineStr">
        <is>
          <t xml:space="preserve">Moderate EBITDA / growing margins	</t>
        </is>
      </c>
      <c r="I95" s="9" t="inlineStr">
        <is>
          <t>Small business; low margins</t>
        </is>
      </c>
      <c r="J95" s="23" t="inlineStr">
        <is>
          <t>~80%/~55% recurring/non-rec gross margin</t>
        </is>
      </c>
    </row>
    <row r="96">
      <c r="B96" s="26" t="inlineStr">
        <is>
          <t>Technology is Sound; Product is Scalable</t>
        </is>
      </c>
      <c r="C96" s="48" t="n">
        <v>5</v>
      </c>
      <c r="D96" s="27" t="n">
        <v>0.05</v>
      </c>
      <c r="E96" s="48" t="inlineStr">
        <is>
          <t>+</t>
        </is>
      </c>
      <c r="F96" s="9" t="n"/>
      <c r="G96" s="2" t="inlineStr">
        <is>
          <t xml:space="preserve">Cloud-native, scalable	</t>
        </is>
      </c>
      <c r="H96" s="2" t="inlineStr">
        <is>
          <t xml:space="preserve">Needs modernization	</t>
        </is>
      </c>
      <c r="I96" s="9" t="inlineStr">
        <is>
          <t>Legacy / unscalable</t>
        </is>
      </c>
      <c r="J96" s="23" t="inlineStr">
        <is>
          <t>Multi-tenant modern SaaS hosted in Azure</t>
        </is>
      </c>
    </row>
    <row r="97">
      <c r="B97" s="26" t="inlineStr">
        <is>
          <t>Valuation</t>
        </is>
      </c>
      <c r="C97" s="48" t="n">
        <v>5</v>
      </c>
      <c r="D97" s="27" t="n">
        <v>0.05</v>
      </c>
      <c r="E97" s="48" t="inlineStr">
        <is>
          <t>+/-</t>
        </is>
      </c>
      <c r="F97" s="9" t="n"/>
      <c r="G97" s="2" t="inlineStr">
        <is>
          <t>Low absolute price (~$10M) or attractive multiple</t>
        </is>
      </c>
      <c r="H97" s="2" t="inlineStr">
        <is>
          <t>Reasonable (~3.5x Revenue)</t>
        </is>
      </c>
      <c r="I97" s="9" t="inlineStr">
        <is>
          <t>High Multiple (~6x ARR) / premium paid</t>
        </is>
      </c>
      <c r="J97" s="23" t="inlineStr">
        <is>
          <t>Paying relatively full price</t>
        </is>
      </c>
    </row>
    <row r="98">
      <c r="B98" s="26" t="inlineStr">
        <is>
          <t>Strong team, seller willingness, &amp;  smooth transition path</t>
        </is>
      </c>
      <c r="C98" s="48" t="n">
        <v>5</v>
      </c>
      <c r="D98" s="27" t="n">
        <v>0.1</v>
      </c>
      <c r="E98" s="48" t="inlineStr">
        <is>
          <t>+/-</t>
        </is>
      </c>
      <c r="G98" s="2" t="inlineStr">
        <is>
          <t xml:space="preserve">Seller ready; strong team	</t>
        </is>
      </c>
      <c r="H98" s="2" t="inlineStr">
        <is>
          <t xml:space="preserve">Needs transition or talent adds	</t>
        </is>
      </c>
      <c r="I98" s="2" t="inlineStr">
        <is>
          <t>Seller unwilling or team weak</t>
        </is>
      </c>
      <c r="J98" s="9" t="n"/>
    </row>
    <row r="99">
      <c r="B99" s="14" t="inlineStr">
        <is>
          <t>Total Score</t>
        </is>
      </c>
      <c r="C99" s="47">
        <f>SUMPRODUCT(C89:C97,D89:D97)</f>
        <v/>
      </c>
      <c r="D99" s="18" t="inlineStr">
        <is>
          <t>Commentary: I would personally give WW a 8 to 8+</t>
        </is>
      </c>
      <c r="E99" s="18" t="n"/>
      <c r="F99" s="16" t="n"/>
      <c r="G99" s="16" t="n"/>
      <c r="H99" s="16" t="n"/>
      <c r="I99" s="16" t="n"/>
      <c r="J99" s="17" t="n"/>
    </row>
  </sheetData>
  <mergeCells count="5">
    <mergeCell ref="G5:I5"/>
    <mergeCell ref="G45:I45"/>
    <mergeCell ref="G87:I87"/>
    <mergeCell ref="G73:I73"/>
    <mergeCell ref="G59:I5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Luka Salamunic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2026-04-20T01:28:40Z</dcterms:modified>
  <cp:lastModifiedBy>K Sch</cp:lastModifiedBy>
</cp:coreProperties>
</file>