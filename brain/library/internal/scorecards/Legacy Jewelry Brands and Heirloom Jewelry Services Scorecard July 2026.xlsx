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Industry Scorecard" sheetId="2" state="visible" r:id="rId2"/>
    <sheet xmlns:r="http://schemas.openxmlformats.org/officeDocument/2006/relationships" name="Sidney Garber Review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1" applyAlignment="1" pivotButton="0" quotePrefix="0" xfId="0">
      <alignment vertical="top" wrapText="1"/>
    </xf>
    <xf numFmtId="0" fontId="3" fillId="0" borderId="0" pivotButton="0" quotePrefix="0" xfId="0"/>
    <xf numFmtId="2" fontId="3" fillId="0" borderId="0" pivotButton="0" quotePrefix="0" xfId="0"/>
    <xf numFmtId="0" fontId="3" fillId="0" borderId="1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90" customWidth="1" min="4" max="4"/>
  </cols>
  <sheetData>
    <row r="1">
      <c r="A1" s="1" t="inlineStr">
        <is>
          <t>Legacy Jewelry Brands &amp; Heirloom Jewelry Services - Initial Screen</t>
        </is>
      </c>
    </row>
    <row r="2"/>
    <row r="3">
      <c r="A3" s="2" t="inlineStr">
        <is>
          <t>Initial Screen</t>
        </is>
      </c>
      <c r="B3" s="2" t="inlineStr">
        <is>
          <t>Pass/Fail</t>
        </is>
      </c>
      <c r="C3" s="2" t="inlineStr">
        <is>
          <t>Criteria</t>
        </is>
      </c>
      <c r="D3" s="2" t="inlineStr">
        <is>
          <t>Notes</t>
        </is>
      </c>
    </row>
    <row r="4" ht="62" customHeight="1">
      <c r="A4" s="3" t="inlineStr">
        <is>
          <t>Margins</t>
        </is>
      </c>
      <c r="B4" s="4" t="inlineStr">
        <is>
          <t>PASS</t>
        </is>
      </c>
      <c r="C4" s="3" t="inlineStr">
        <is>
          <t>15%+ EBITDA potential</t>
        </is>
      </c>
      <c r="D4" s="3" t="inlineStr">
        <is>
          <t>Sidney Garber financials show 2025 revenue $18.6M, gross margin 62.8%, EBITDA $3.36M, and FCF before distributions/taxes of $3.27M. Industry-level margins vary widely; inventory discipline is the gating factor.</t>
        </is>
      </c>
    </row>
    <row r="5" ht="62" customHeight="1">
      <c r="A5" s="3" t="inlineStr">
        <is>
          <t>Recurring / Reoccurring Revenue</t>
        </is>
      </c>
      <c r="B5" s="5" t="inlineStr">
        <is>
          <t>CONDITIONAL PASS</t>
        </is>
      </c>
      <c r="C5" s="3" t="inlineStr">
        <is>
          <t>Recurring, reoccurring, repeat, or actuarial revenue; avoid pure transactionality</t>
        </is>
      </c>
      <c r="D5" s="3" t="inlineStr">
        <is>
          <t>Revenue is repeat / habit-driven rather than contractual. Potentially attractive if client book has repeat jewelry purchases, repair/restoration, bridal, gifting, heirloom services, insurance documentation, and estate transitions. Not classic recurring revenue.</t>
        </is>
      </c>
    </row>
    <row r="6" ht="62" customHeight="1">
      <c r="A6" s="3" t="inlineStr">
        <is>
          <t>Industry Growth</t>
        </is>
      </c>
      <c r="B6" s="5" t="inlineStr">
        <is>
          <t>MIXED PASS</t>
        </is>
      </c>
      <c r="C6" s="3" t="inlineStr">
        <is>
          <t>Growth above GDP or clear durable catalyst</t>
        </is>
      </c>
      <c r="D6" s="3" t="inlineStr">
        <is>
          <t>Personal luxury and hard luxury have long-term tailwinds, but luxury goods are cyclical and watches/jewelry can soften in downturns. US high-end customer resilience matters more than broad category growth.</t>
        </is>
      </c>
    </row>
    <row r="7" ht="62" customHeight="1">
      <c r="A7" s="3" t="inlineStr">
        <is>
          <t>Growth TAM</t>
        </is>
      </c>
      <c r="B7" s="4" t="inlineStr">
        <is>
          <t>PASS</t>
        </is>
      </c>
      <c r="C7" s="3" t="inlineStr">
        <is>
          <t>$500M+ Growth TAM</t>
        </is>
      </c>
      <c r="D7" s="3" t="inlineStr">
        <is>
          <t>US jewelry retail and global luxury jewelry markets are far above the minimum threshold. The actionable Growth TAM is narrower: affluent repeat customers, heirloom/estate jewelry, repair/restoration, bridal/gifting, and private-client jewelry services.</t>
        </is>
      </c>
    </row>
    <row r="8" ht="62" customHeight="1">
      <c r="A8" s="3" t="inlineStr">
        <is>
          <t>Verdict</t>
        </is>
      </c>
      <c r="B8" s="6" t="inlineStr">
        <is>
          <t>CONDITIONAL WATCH</t>
        </is>
      </c>
      <c r="C8" s="3" t="inlineStr">
        <is>
          <t>Proceed only if asset-specific evidence clears retail/inventory concerns</t>
        </is>
      </c>
      <c r="D8" s="3" t="inlineStr">
        <is>
          <t>This should not be treated as a generic jewelry-store search. It can be a G&amp;B luxury HoldCo first asset only if the target has management depth, brand equity, real free cash flow, inventory downside protection, and a structure that avoids overpaying for slow-moving inventory.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2" customWidth="1" min="4" max="4"/>
    <col width="18" customWidth="1" min="5" max="5"/>
    <col width="95" customWidth="1" min="6" max="6"/>
  </cols>
  <sheetData>
    <row r="1">
      <c r="A1" s="1" t="inlineStr">
        <is>
          <t>Legacy Jewelry Brands &amp; Heirloom Jewelry Services - Industry Scorecard</t>
        </is>
      </c>
    </row>
    <row r="2">
      <c r="A2" s="7" t="inlineStr">
        <is>
          <t>Preliminary score: 2.15 / 3.00 (72%). Conditional WATCH: compelling luxury HoldCo fit, but weak classic search-fund revenue quality and high inventory/retail risk.</t>
        </is>
      </c>
    </row>
    <row r="3"/>
    <row r="4">
      <c r="A4" s="8" t="inlineStr">
        <is>
          <t>Category</t>
        </is>
      </c>
      <c r="B4" s="8" t="inlineStr">
        <is>
          <t>Weight</t>
        </is>
      </c>
      <c r="C4" s="8" t="inlineStr">
        <is>
          <t>Score (1-3)</t>
        </is>
      </c>
      <c r="D4" s="8" t="inlineStr">
        <is>
          <t>Weighted</t>
        </is>
      </c>
      <c r="E4" s="8" t="inlineStr">
        <is>
          <t>Evaluation</t>
        </is>
      </c>
      <c r="F4" s="8" t="inlineStr">
        <is>
          <t>Rationale / diligence</t>
        </is>
      </c>
    </row>
    <row r="5" ht="70" customHeight="1">
      <c r="A5" s="3" t="inlineStr">
        <is>
          <t>Growth / Penetration / Catalyst</t>
        </is>
      </c>
      <c r="B5" s="9" t="n">
        <v>0.25</v>
      </c>
      <c r="C5" s="9" t="n">
        <v>2.2</v>
      </c>
      <c r="D5" s="9">
        <f>B5*C5</f>
        <v/>
      </c>
      <c r="E5" s="3" t="inlineStr">
        <is>
          <t>Moderate</t>
        </is>
      </c>
      <c r="F5" s="3" t="inlineStr">
        <is>
          <t>Large market and hard-luxury durability; strongest growth vectors are affluent/private-client services, heirloom/estate jewelry, repair/restoration, bespoke, and gifting. Cyclical luxury demand remains a real risk.</t>
        </is>
      </c>
    </row>
    <row r="6" ht="70" customHeight="1">
      <c r="A6" s="3" t="inlineStr">
        <is>
          <t>Size / Fragmentation</t>
        </is>
      </c>
      <c r="B6" s="9" t="n">
        <v>0.1</v>
      </c>
      <c r="C6" s="9" t="n">
        <v>2.4</v>
      </c>
      <c r="D6" s="9">
        <f>B6*C6</f>
        <v/>
      </c>
      <c r="E6" s="3" t="inlineStr">
        <is>
          <t>Strong</t>
        </is>
      </c>
      <c r="F6" s="3" t="inlineStr">
        <is>
          <t>Jewelry retail and services are highly fragmented, with many independent owner-led stores/brands. However, few will meet $1.5M+ EBITDA and true management-layer requirements.</t>
        </is>
      </c>
    </row>
    <row r="7" ht="70" customHeight="1">
      <c r="A7" s="3" t="inlineStr">
        <is>
          <t>Industry Economics</t>
        </is>
      </c>
      <c r="B7" s="9" t="n">
        <v>0.1</v>
      </c>
      <c r="C7" s="9" t="n">
        <v>2</v>
      </c>
      <c r="D7" s="9">
        <f>B7*C7</f>
        <v/>
      </c>
      <c r="E7" s="3" t="inlineStr">
        <is>
          <t>Mixed</t>
        </is>
      </c>
      <c r="F7" s="3" t="inlineStr">
        <is>
          <t>High gross margin possible, but inventory turns, shrink, markdowns, and working capital drive real economics. Good assets can be cash-generative; weak assets are inventory traps.</t>
        </is>
      </c>
    </row>
    <row r="8" ht="70" customHeight="1">
      <c r="A8" s="3" t="inlineStr">
        <is>
          <t>Mission Criticality</t>
        </is>
      </c>
      <c r="B8" s="9" t="n">
        <v>0.15</v>
      </c>
      <c r="C8" s="9" t="n">
        <v>1.8</v>
      </c>
      <c r="D8" s="9">
        <f>B8*C8</f>
        <v/>
      </c>
      <c r="E8" s="3" t="inlineStr">
        <is>
          <t>Mixed</t>
        </is>
      </c>
      <c r="F8" s="3" t="inlineStr">
        <is>
          <t>Jewelry is discretionary at the category level. Mission criticality improves around emotionally important occasions, insurance documentation, heirloom stewardship, estate transitions, and repair/restoration.</t>
        </is>
      </c>
    </row>
    <row r="9" ht="70" customHeight="1">
      <c r="A9" s="3" t="inlineStr">
        <is>
          <t>Exogenous Risks</t>
        </is>
      </c>
      <c r="B9" s="9" t="n">
        <v>0.1</v>
      </c>
      <c r="C9" s="9" t="n">
        <v>1.6</v>
      </c>
      <c r="D9" s="9">
        <f>B9*C9</f>
        <v/>
      </c>
      <c r="E9" s="3" t="inlineStr">
        <is>
          <t>Weak</t>
        </is>
      </c>
      <c r="F9" s="3" t="inlineStr">
        <is>
          <t>Consumer sentiment, luxury-cycle volatility, gold/diamond price shifts, lab-grown diamond pressure, security/shrink, and brand relevance create meaningful external risk.</t>
        </is>
      </c>
    </row>
    <row r="10" ht="70" customHeight="1">
      <c r="A10" s="3" t="inlineStr">
        <is>
          <t>Porter / Competitive Structure</t>
        </is>
      </c>
      <c r="B10" s="9" t="n">
        <v>0.15</v>
      </c>
      <c r="C10" s="9" t="n">
        <v>1.9</v>
      </c>
      <c r="D10" s="9">
        <f>B10*C10</f>
        <v/>
      </c>
      <c r="E10" s="3" t="inlineStr">
        <is>
          <t>Mixed</t>
        </is>
      </c>
      <c r="F10" s="3" t="inlineStr">
        <is>
          <t>National/luxury maisons dominate brand mindshare; independents can win through trust, relationship, local prestige, design voice, and service. Supplier/customer power varies by brand equity.</t>
        </is>
      </c>
    </row>
    <row r="11" ht="70" customHeight="1">
      <c r="A11" s="3" t="inlineStr">
        <is>
          <t>Value Creation</t>
        </is>
      </c>
      <c r="B11" s="9" t="n">
        <v>0.1</v>
      </c>
      <c r="C11" s="9" t="n">
        <v>2.4</v>
      </c>
      <c r="D11" s="9">
        <f>B11*C11</f>
        <v/>
      </c>
      <c r="E11" s="3" t="inlineStr">
        <is>
          <t>Strong if structured</t>
        </is>
      </c>
      <c r="F11" s="3" t="inlineStr">
        <is>
          <t>Potential levers: inventory discipline, CRM/clienteling, repeat private-client events, repair/heirloom services, estate jewelry, pricing, digital demand capture, and bolt-on specialist benches.</t>
        </is>
      </c>
    </row>
    <row r="12" ht="70" customHeight="1">
      <c r="A12" s="3" t="inlineStr">
        <is>
          <t>Impact / G&amp;B Fit</t>
        </is>
      </c>
      <c r="B12" s="9" t="n">
        <v>0.05</v>
      </c>
      <c r="C12" s="9" t="n">
        <v>2.8</v>
      </c>
      <c r="D12" s="9">
        <f>B12*C12</f>
        <v/>
      </c>
      <c r="E12" s="3" t="inlineStr">
        <is>
          <t>Strong</t>
        </is>
      </c>
      <c r="F12" s="3" t="inlineStr">
        <is>
          <t>High fit with G&amp;B luxury HoldCo architecture, women-led stewardship, permanence, philanthropy/community, taste, trust, and future-generations narrative.</t>
        </is>
      </c>
    </row>
    <row r="13"/>
    <row r="14">
      <c r="C14" s="10" t="inlineStr">
        <is>
          <t>Total Score</t>
        </is>
      </c>
      <c r="D14" s="11">
        <f>SUM(D5:D12)</f>
        <v/>
      </c>
      <c r="E14" s="10" t="inlineStr">
        <is>
          <t>2.15 / 3.00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8" customWidth="1" min="3" max="3"/>
    <col width="58" customWidth="1" min="4" max="4"/>
    <col width="48" customWidth="1" min="5" max="5"/>
    <col width="18" customWidth="1" min="6" max="6"/>
  </cols>
  <sheetData>
    <row r="1">
      <c r="A1" s="1" t="inlineStr">
        <is>
          <t>Sidney Garber - Company-Specific First-Asset Review</t>
        </is>
      </c>
    </row>
    <row r="2">
      <c r="A2" s="7" t="inlineStr">
        <is>
          <t>Preliminary asset score: ADVANCE TO STRUCTURE TEST. The business appears materially stronger than the generic jewelry-store thesis, but the investment case depends on inventory protection, President retention, and seller transition/financing.</t>
        </is>
      </c>
    </row>
    <row r="3"/>
    <row r="4">
      <c r="A4" s="8" t="inlineStr">
        <is>
          <t>Dimension</t>
        </is>
      </c>
      <c r="B4" s="8" t="inlineStr">
        <is>
          <t>Evidence</t>
        </is>
      </c>
      <c r="C4" s="8" t="inlineStr">
        <is>
          <t>Investment Read</t>
        </is>
      </c>
      <c r="D4" s="8" t="inlineStr">
        <is>
          <t>Risk / Diligence Question</t>
        </is>
      </c>
      <c r="E4" s="8" t="inlineStr">
        <is>
          <t>Structure Implication</t>
        </is>
      </c>
      <c r="F4" s="8" t="inlineStr">
        <is>
          <t>Preliminary Call</t>
        </is>
      </c>
    </row>
    <row r="5" ht="95" customHeight="1">
      <c r="A5" s="3" t="inlineStr">
        <is>
          <t>Scale / Cash Flow</t>
        </is>
      </c>
      <c r="B5" s="3" t="inlineStr">
        <is>
          <t>2025 revenue $18.6M; EBITDA $3.36M; FCF before distributions/taxes $3.27M; 2024 EBITDA $3.22M.</t>
        </is>
      </c>
      <c r="C5" s="3" t="inlineStr">
        <is>
          <t>Meets / exceeds search-fund EBITDA scale and may support investor seriousness.</t>
        </is>
      </c>
      <c r="D5" s="3" t="inlineStr">
        <is>
          <t>Normalize owner expenses, charity, one-time items, rent, inventory purchases, taxes, and true maintenance capex.</t>
        </is>
      </c>
      <c r="E5" s="3" t="inlineStr">
        <is>
          <t>Valuation should be based on normalized EBITDA / cash flow, not revenue or inventory alone.</t>
        </is>
      </c>
      <c r="F5" s="12" t="inlineStr">
        <is>
          <t>Positive</t>
        </is>
      </c>
    </row>
    <row r="6" ht="95" customHeight="1">
      <c r="A6" s="3" t="inlineStr">
        <is>
          <t>Management Layer</t>
        </is>
      </c>
      <c r="B6" s="3" t="inlineStr">
        <is>
          <t>Seller indicated a President she loves runs day-to-day.</t>
        </is>
      </c>
      <c r="C6" s="3" t="inlineStr">
        <is>
          <t>This directly addresses the retail-job concern and makes the asset more plausible as HoldCo Deal 1.</t>
        </is>
      </c>
      <c r="D6" s="3" t="inlineStr">
        <is>
          <t>Confirm President role, compensation, authority, client relationships, and post-close retention willingness.</t>
        </is>
      </c>
      <c r="E6" s="3" t="inlineStr">
        <is>
          <t>Retention bonus / employment agreement / equity incentive may be required before LOI.</t>
        </is>
      </c>
      <c r="F6" s="12" t="inlineStr">
        <is>
          <t>Critical diligence</t>
        </is>
      </c>
    </row>
    <row r="7" ht="95" customHeight="1">
      <c r="A7" s="3" t="inlineStr">
        <is>
          <t>Inventory / Working Capital</t>
        </is>
      </c>
      <c r="B7" s="3" t="inlineStr">
        <is>
          <t>Conversation references ~$13M inventory; 2025 sales $18.6M implies revenue/inventory turnover ~1.4x. COGS-based turn likely materially lower.</t>
        </is>
      </c>
      <c r="C7" s="3" t="inlineStr">
        <is>
          <t>Inventory is the largest downside-protection issue.</t>
        </is>
      </c>
      <c r="D7" s="3" t="inlineStr">
        <is>
          <t>Need aged inventory, memo vs owned, melt/stone value, SKU productivity, slow-moving pieces, markdown history, insurance coverage.</t>
        </is>
      </c>
      <c r="E7" s="3" t="inlineStr">
        <is>
          <t>Use inventory true-up, borrowing-base mechanics, seller note, earnout, or separate inventory valuation collar.</t>
        </is>
      </c>
      <c r="F7" s="12" t="inlineStr">
        <is>
          <t>High risk</t>
        </is>
      </c>
    </row>
    <row r="8" ht="95" customHeight="1">
      <c r="A8" s="3" t="inlineStr">
        <is>
          <t>Revenue Quality</t>
        </is>
      </c>
      <c r="B8" s="3" t="inlineStr">
        <is>
          <t>Repeat luxury client behavior likely, but no contractual recurring revenue.</t>
        </is>
      </c>
      <c r="C8" s="3" t="inlineStr">
        <is>
          <t>Works only if client book is durable and repeatable independent of seller.</t>
        </is>
      </c>
      <c r="D8" s="3" t="inlineStr">
        <is>
          <t>Customer concentration, cohorts, purchase frequency, bridal/anniversary/gifting cadence, repair/restoration attach, private-client events.</t>
        </is>
      </c>
      <c r="E8" s="3" t="inlineStr">
        <is>
          <t>Consider earnout tied to retained revenue / gross profit and seller transition commitments.</t>
        </is>
      </c>
      <c r="F8" s="12" t="inlineStr">
        <is>
          <t>Conditional</t>
        </is>
      </c>
    </row>
    <row r="9" ht="95" customHeight="1">
      <c r="A9" s="3" t="inlineStr">
        <is>
          <t>Brand / G&amp;B Fit</t>
        </is>
      </c>
      <c r="B9" s="3" t="inlineStr">
        <is>
          <t>Legacy luxury jewelry brand with philanthropy/community resonance and high taste alignment.</t>
        </is>
      </c>
      <c r="C9" s="3" t="inlineStr">
        <is>
          <t>Strong fit with luxury HoldCo architecture and Kay credibility.</t>
        </is>
      </c>
      <c r="D9" s="3" t="inlineStr">
        <is>
          <t>Brand age, customer perception, founder dependence, PR engine, social/digital relevance, vendor/jeweler bench.</t>
        </is>
      </c>
      <c r="E9" s="3" t="inlineStr">
        <is>
          <t>Could be a flagship first asset if downside is protected and operating team stays.</t>
        </is>
      </c>
      <c r="F9" s="12" t="inlineStr">
        <is>
          <t>Positive</t>
        </is>
      </c>
    </row>
    <row r="10" ht="95" customHeight="1">
      <c r="A10" s="3" t="inlineStr">
        <is>
          <t>Exit / Platform Logic</t>
        </is>
      </c>
      <c r="B10" s="3" t="inlineStr">
        <is>
          <t>Could create access to estate jewelry, repair/restoration, appraisal/documentation, insurance, private-client channels.</t>
        </is>
      </c>
      <c r="C10" s="3" t="inlineStr">
        <is>
          <t>May create proprietary intelligence and future deal access, but platform logic must be proven.</t>
        </is>
      </c>
      <c r="D10" s="3" t="inlineStr">
        <is>
          <t>Can it add services without diluting brand? Are there bolt-on repair/workshop/estate/service targets?</t>
        </is>
      </c>
      <c r="E10" s="3" t="inlineStr">
        <is>
          <t>Frame as luxury asset stewardship platform, not standalone retail acquisition.</t>
        </is>
      </c>
      <c r="F10" s="12" t="inlineStr">
        <is>
          <t>Needs proof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95" customWidth="1" min="3" max="3"/>
  </cols>
  <sheetData>
    <row r="1">
      <c r="A1" s="13" t="inlineStr">
        <is>
          <t>Source</t>
        </is>
      </c>
      <c r="B1" s="13" t="inlineStr">
        <is>
          <t>Use in analysis</t>
        </is>
      </c>
      <c r="C1" s="13" t="inlineStr">
        <is>
          <t>URL / location</t>
        </is>
      </c>
    </row>
    <row r="2">
      <c r="A2" s="14" t="inlineStr">
        <is>
          <t>US Census NAICS 458310 Jewelry Retailers</t>
        </is>
      </c>
      <c r="B2" s="14" t="inlineStr">
        <is>
          <t>Industry definition / taxonomy</t>
        </is>
      </c>
      <c r="C2" s="14" t="inlineStr">
        <is>
          <t>https://www.census.gov/naics/</t>
        </is>
      </c>
    </row>
    <row r="3">
      <c r="A3" s="14" t="inlineStr">
        <is>
          <t>US Census NAICS 339910 Jewelry and Silverware Manufacturing</t>
        </is>
      </c>
      <c r="B3" s="14" t="inlineStr">
        <is>
          <t>Adjacent manufacturing / workshop taxonomy</t>
        </is>
      </c>
      <c r="C3" s="14" t="inlineStr">
        <is>
          <t>https://www.census.gov/naics/</t>
        </is>
      </c>
    </row>
    <row r="4">
      <c r="A4" s="14" t="inlineStr">
        <is>
          <t>Bain &amp; Company / Altagamma luxury market updates</t>
        </is>
      </c>
      <c r="B4" s="14" t="inlineStr">
        <is>
          <t>Luxury market context and cyclicality</t>
        </is>
      </c>
      <c r="C4" s="14" t="inlineStr">
        <is>
          <t>https://www.bain.com/insights/topics/luxury/</t>
        </is>
      </c>
    </row>
    <row r="5">
      <c r="A5" s="14" t="inlineStr">
        <is>
          <t>McKinsey State of Fashion: Watches &amp; Jewellery</t>
        </is>
      </c>
      <c r="B5" s="14" t="inlineStr">
        <is>
          <t>Hard luxury growth / channel context</t>
        </is>
      </c>
      <c r="C5" s="14" t="inlineStr">
        <is>
          <t>https://www.mckinsey.com/industries/retail/our-insights/state-of-fashion-watches-and-jewellery</t>
        </is>
      </c>
    </row>
    <row r="6">
      <c r="A6" s="14" t="inlineStr">
        <is>
          <t>IBISWorld / public market summaries for US Jewelry Stores</t>
        </is>
      </c>
      <c r="B6" s="14" t="inlineStr">
        <is>
          <t>US market scale and fragmentation check</t>
        </is>
      </c>
      <c r="C6" s="14" t="inlineStr">
        <is>
          <t>https://www.ibisworld.com/united-states/market-research-reports/jewelry-stores-industry/</t>
        </is>
      </c>
    </row>
    <row r="7">
      <c r="A7" s="14" t="inlineStr">
        <is>
          <t>Jewelers Board of Trade</t>
        </is>
      </c>
      <c r="B7" s="14" t="inlineStr">
        <is>
          <t>Jewelry-business population / credit context</t>
        </is>
      </c>
      <c r="C7" s="14" t="inlineStr">
        <is>
          <t>https://jewelersboard.com/</t>
        </is>
      </c>
    </row>
    <row r="8">
      <c r="A8" s="14" t="inlineStr">
        <is>
          <t>BizBuySell / BizQuest jewelry listings</t>
        </is>
      </c>
      <c r="B8" s="14" t="inlineStr">
        <is>
          <t>Broker-market saleability and small-business transaction signal</t>
        </is>
      </c>
      <c r="C8" s="14" t="inlineStr">
        <is>
          <t>https://www.bizbuysell.com/</t>
        </is>
      </c>
    </row>
    <row r="9">
      <c r="A9" s="14" t="inlineStr">
        <is>
          <t>Sidney Garber transcribed financial workbook</t>
        </is>
      </c>
      <c r="B9" s="14" t="inlineStr">
        <is>
          <t>Company-specific revenue, EBITDA, FCF evidence</t>
        </is>
      </c>
      <c r="C9" s="14" t="inlineStr">
        <is>
          <t>/home/ubuntu/projects/Sapling/brain/operating-areas/c-suite/CIO/Sidney_Garber_Photo_Financials_Transcribed.xlsx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2026-07-31T17:21:46Z</dcterms:created>
  <dcterms:modified xmlns:dcterms="http://purl.org/dc/terms/" xmlns:xsi="http://www.w3.org/2001/XMLSchema-instance" xsi:type="dcterms:W3CDTF">2026-07-31T17:21:46Z</dcterms:modified>
</cp:coreProperties>
</file>