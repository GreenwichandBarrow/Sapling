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0" yWindow="1100" windowWidth="27640" windowHeight="15380" tabRatio="600" firstSheet="0" activeTab="0" autoFilterDateGrouping="1"/>
  </bookViews>
  <sheets>
    <sheet xmlns:r="http://schemas.openxmlformats.org/officeDocument/2006/relationships" name="Industry Scorecard" sheetId="1" state="visible" r:id="rId1"/>
  </sheets>
  <externalReferences>
    <externalReference xmlns:r="http://schemas.openxmlformats.org/officeDocument/2006/relationships" r:id="rId2"/>
  </externalReferences>
  <definedNames>
    <definedName name="_bdm.8018492968a5442495f20d90ab0edcf5.edm">#REF!</definedName>
    <definedName name="_bdm.FastTrackBookmark.10_31_2020_1_08_13_PM.edm">#REF!</definedName>
    <definedName name="_bdm.8018492968a5442495f20d90ab0edcf5.edm" localSheetId="0">'Spec Insurance Brokerage'!$1:$1048576</definedName>
    <definedName name="_bdm.f13a6b620fec4e82afc4fa1e28cf992f.edm" localSheetId="0">'[1]PostOp SAAS Scorecard'!#REF!</definedName>
    <definedName name="_bdm.FastTrackBookmark.10_31_2020_1_08_13_PM.edm" localSheetId="0">'Spec Insurance Brokerage'!$C$8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2">
    <font>
      <name val="Aptos Narrow"/>
      <color theme="1"/>
      <sz val="12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rgb="FFFFFFFF"/>
      <sz val="10"/>
    </font>
    <font>
      <name val="Calibri"/>
      <family val="2"/>
      <b val="1"/>
      <color rgb="FFFFFFFF"/>
      <sz val="10"/>
    </font>
    <font>
      <name val="Aptos Narrow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FFFFFF"/>
      <sz val="12"/>
    </font>
    <font>
      <name val="Calibri"/>
      <family val="2"/>
      <color rgb="FF0000FF"/>
      <sz val="10"/>
    </font>
    <font>
      <name val="Aptos Narrow"/>
      <color theme="1"/>
      <sz val="12"/>
    </font>
    <font>
      <name val="Calibri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center" vertical="top"/>
    </xf>
    <xf numFmtId="165" fontId="2" fillId="2" borderId="0" applyAlignment="1" pivotButton="0" quotePrefix="0" xfId="0">
      <alignment horizontal="center" vertical="top"/>
    </xf>
    <xf numFmtId="0" fontId="3" fillId="2" borderId="0" pivotButton="0" quotePrefix="0" xfId="0"/>
    <xf numFmtId="166" fontId="2" fillId="2" borderId="0" applyAlignment="1" pivotButton="0" quotePrefix="0" xfId="0">
      <alignment horizontal="center" vertical="top"/>
    </xf>
    <xf numFmtId="0" fontId="1" fillId="0" borderId="0" pivotButton="0" quotePrefix="0" xfId="0"/>
    <xf numFmtId="9" fontId="1" fillId="0" borderId="0" applyAlignment="1" pivotButton="0" quotePrefix="0" xfId="0">
      <alignment horizontal="center" vertical="top"/>
    </xf>
    <xf numFmtId="0" fontId="4" fillId="2" borderId="1" pivotButton="0" quotePrefix="0" xfId="0"/>
    <xf numFmtId="0" fontId="2" fillId="2" borderId="2" applyAlignment="1" pivotButton="0" quotePrefix="0" xfId="0">
      <alignment horizontal="center"/>
    </xf>
    <xf numFmtId="9" fontId="2" fillId="2" borderId="2" applyAlignment="1" pivotButton="0" quotePrefix="0" xfId="0">
      <alignment horizontal="center"/>
    </xf>
    <xf numFmtId="9" fontId="2" fillId="2" borderId="2" pivotButton="0" quotePrefix="0" xfId="0"/>
    <xf numFmtId="9" fontId="2" fillId="2" borderId="3" pivotButton="0" quotePrefix="0" xfId="0"/>
    <xf numFmtId="0" fontId="2" fillId="2" borderId="2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2" fillId="2" borderId="4" applyAlignment="1" pivotButton="0" quotePrefix="0" xfId="0">
      <alignment horizontal="center"/>
    </xf>
    <xf numFmtId="0" fontId="2" fillId="2" borderId="5" pivotButton="0" quotePrefix="0" xfId="0"/>
    <xf numFmtId="16" fontId="2" fillId="2" borderId="6" applyAlignment="1" pivotButton="0" quotePrefix="1" xfId="0">
      <alignment horizontal="center"/>
    </xf>
    <xf numFmtId="9" fontId="2" fillId="2" borderId="6" applyAlignment="1" pivotButton="0" quotePrefix="0" xfId="0">
      <alignment horizontal="center"/>
    </xf>
    <xf numFmtId="9" fontId="2" fillId="2" borderId="6" applyAlignment="1" pivotButton="0" quotePrefix="1" xfId="0">
      <alignment horizontal="center"/>
    </xf>
    <xf numFmtId="9" fontId="2" fillId="2" borderId="7" applyAlignment="1" pivotButton="0" quotePrefix="0" xfId="0">
      <alignment horizontal="center"/>
    </xf>
    <xf numFmtId="9" fontId="2" fillId="2" borderId="7" applyAlignment="1" pivotButton="0" quotePrefix="1" xfId="0">
      <alignment horizontal="center"/>
    </xf>
    <xf numFmtId="9" fontId="2" fillId="2" borderId="8" applyAlignment="1" pivotButton="0" quotePrefix="0" xfId="0">
      <alignment horizontal="center"/>
    </xf>
    <xf numFmtId="0" fontId="6" fillId="0" borderId="9" pivotButton="0" quotePrefix="0" xfId="0"/>
    <xf numFmtId="16" fontId="6" fillId="0" borderId="0" applyAlignment="1" pivotButton="0" quotePrefix="0" xfId="0">
      <alignment horizontal="center"/>
    </xf>
    <xf numFmtId="9" fontId="6" fillId="0" borderId="0" applyAlignment="1" pivotButton="0" quotePrefix="0" xfId="0">
      <alignment horizontal="center" vertical="top"/>
    </xf>
    <xf numFmtId="9" fontId="6" fillId="0" borderId="10" applyAlignment="1" pivotButton="0" quotePrefix="0" xfId="0">
      <alignment horizontal="center" vertical="top"/>
    </xf>
    <xf numFmtId="9" fontId="6" fillId="0" borderId="11" applyAlignment="1" pivotButton="0" quotePrefix="0" xfId="0">
      <alignment horizontal="center" vertical="top"/>
    </xf>
    <xf numFmtId="2" fontId="7" fillId="3" borderId="12" applyAlignment="1" pivotButton="0" quotePrefix="0" xfId="0">
      <alignment horizontal="center"/>
    </xf>
    <xf numFmtId="9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0" pivotButton="0" quotePrefix="0" xfId="0"/>
    <xf numFmtId="0" fontId="1" fillId="0" borderId="11" pivotButton="0" quotePrefix="0" xfId="0"/>
    <xf numFmtId="0" fontId="1" fillId="0" borderId="9" applyAlignment="1" pivotButton="0" quotePrefix="1" xfId="0">
      <alignment horizontal="left"/>
    </xf>
    <xf numFmtId="2" fontId="1" fillId="0" borderId="0" pivotButton="0" quotePrefix="0" xfId="0"/>
    <xf numFmtId="0" fontId="8" fillId="0" borderId="0" applyAlignment="1" pivotButton="0" quotePrefix="0" xfId="0">
      <alignment horizontal="right"/>
    </xf>
    <xf numFmtId="0" fontId="9" fillId="3" borderId="12" applyAlignment="1" pivotButton="0" quotePrefix="0" xfId="0">
      <alignment horizontal="center"/>
    </xf>
    <xf numFmtId="0" fontId="9" fillId="3" borderId="12" applyAlignment="1" pivotButton="0" quotePrefix="1" xfId="0">
      <alignment horizontal="center"/>
    </xf>
    <xf numFmtId="0" fontId="1" fillId="0" borderId="13" applyAlignment="1" pivotButton="0" quotePrefix="1" xfId="0">
      <alignment horizontal="left"/>
    </xf>
    <xf numFmtId="2" fontId="1" fillId="0" borderId="14" pivotButton="0" quotePrefix="0" xfId="0"/>
    <xf numFmtId="0" fontId="8" fillId="0" borderId="15" applyAlignment="1" pivotButton="0" quotePrefix="0" xfId="0">
      <alignment horizontal="right"/>
    </xf>
    <xf numFmtId="0" fontId="1" fillId="0" borderId="16" pivotButton="0" quotePrefix="0" xfId="0"/>
    <xf numFmtId="0" fontId="1" fillId="0" borderId="14" pivotButton="0" quotePrefix="0" xfId="0"/>
    <xf numFmtId="0" fontId="1" fillId="0" borderId="17" pivotButton="0" quotePrefix="0" xfId="0"/>
    <xf numFmtId="0" fontId="10" fillId="0" borderId="0" pivotButton="0" quotePrefix="0" xfId="0"/>
    <xf numFmtId="0" fontId="1" fillId="0" borderId="5" applyAlignment="1" pivotButton="0" quotePrefix="1" xfId="0">
      <alignment horizontal="left"/>
    </xf>
    <xf numFmtId="2" fontId="1" fillId="0" borderId="6" pivotButton="0" quotePrefix="0" xfId="0"/>
    <xf numFmtId="0" fontId="1" fillId="0" borderId="7" pivotButton="0" quotePrefix="0" xfId="0"/>
    <xf numFmtId="0" fontId="1" fillId="0" borderId="6" pivotButton="0" quotePrefix="0" xfId="0"/>
    <xf numFmtId="0" fontId="1" fillId="0" borderId="8" pivotButton="0" quotePrefix="0" xfId="0"/>
    <xf numFmtId="0" fontId="6" fillId="0" borderId="18" pivotButton="0" quotePrefix="0" xfId="0"/>
    <xf numFmtId="0" fontId="6" fillId="0" borderId="19" pivotButton="0" quotePrefix="0" xfId="0"/>
    <xf numFmtId="0" fontId="1" fillId="0" borderId="19" pivotButton="0" quotePrefix="0" xfId="0"/>
    <xf numFmtId="0" fontId="1" fillId="0" borderId="20" pivotButton="0" quotePrefix="0" xfId="0"/>
    <xf numFmtId="9" fontId="1" fillId="0" borderId="0" pivotButton="0" quotePrefix="0" xfId="0"/>
    <xf numFmtId="0" fontId="2" fillId="2" borderId="1" pivotButton="0" quotePrefix="0" xfId="0"/>
    <xf numFmtId="0" fontId="1" fillId="0" borderId="9" pivotButton="0" quotePrefix="0" xfId="0"/>
    <xf numFmtId="9" fontId="9" fillId="0" borderId="0" applyAlignment="1" pivotButton="0" quotePrefix="0" xfId="0">
      <alignment horizontal="center"/>
    </xf>
    <xf numFmtId="0" fontId="1" fillId="0" borderId="9" applyAlignment="1" pivotButton="0" quotePrefix="0" xfId="0">
      <alignment wrapText="1"/>
    </xf>
    <xf numFmtId="0" fontId="7" fillId="3" borderId="1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kaycschneider/My%20Drive/ANALYST/INDUSTRY%20RESEARCH/G&amp;B%20Scorecard%20Industry%20&amp;%20Company%207.24.25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&amp;B INITIAL SCREEN"/>
      <sheetName val="G&amp;B TARGET LIST"/>
      <sheetName val="Home Services"/>
      <sheetName val="Estate Planning &amp; Trust Trust S"/>
      <sheetName val="B2B Licensing"/>
      <sheetName val="Spec Insurance Brokerage"/>
      <sheetName val="PostOp SAAS Scorecard"/>
      <sheetName val="Art Platform Scorecard"/>
      <sheetName val="Art Storage Scorecard"/>
      <sheetName val="Escrow SaaS"/>
      <sheetName val="TEMPLATE"/>
      <sheetName val="G&amp;B INDUSTRY SCORECARD"/>
      <sheetName val="G&amp;B INDUSTRY OLD"/>
      <sheetName val="G&amp;B OPPTY SCORECARD"/>
      <sheetName val="G&amp;B OPPTY OLD"/>
      <sheetName val="PAC LAKE 4+1"/>
      <sheetName val="TTCER"/>
      <sheetName val="STANFORD SCOREC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8ED873"/>
    <outlinePr summaryBelow="1" summaryRight="1"/>
    <pageSetUpPr/>
  </sheetPr>
  <dimension ref="A1:Z1000"/>
  <sheetViews>
    <sheetView showGridLines="0" tabSelected="1" topLeftCell="A25" workbookViewId="0">
      <selection activeCell="B49" sqref="B49"/>
    </sheetView>
  </sheetViews>
  <sheetFormatPr baseColWidth="10" defaultColWidth="11.1640625" defaultRowHeight="15" customHeight="1"/>
  <cols>
    <col width="1.33203125" customWidth="1" min="1" max="1"/>
    <col width="47.33203125" customWidth="1" min="2" max="2"/>
    <col outlineLevel="1" width="11.83203125" customWidth="1" min="3" max="4"/>
    <col outlineLevel="1" width="8.33203125" customWidth="1" min="5" max="5"/>
    <col width="3.1640625" customWidth="1" min="6" max="6"/>
    <col outlineLevel="1" width="25.6640625" customWidth="1" min="7" max="7"/>
    <col outlineLevel="1" width="32" customWidth="1" min="8" max="8"/>
    <col outlineLevel="1" width="23" customWidth="1" min="9" max="9"/>
    <col width="32.1640625" customWidth="1" min="10" max="10"/>
    <col width="8.83203125" customWidth="1" min="11" max="26"/>
  </cols>
  <sheetData>
    <row r="1" ht="13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>
      <c r="A2" s="1" t="n"/>
      <c r="B2" s="2" t="n"/>
      <c r="C2" s="3" t="n"/>
      <c r="D2" s="4" t="n"/>
      <c r="E2" s="4" t="n"/>
      <c r="F2" s="4" t="n"/>
      <c r="G2" s="5" t="n"/>
      <c r="H2" s="5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>
      <c r="A3" s="1" t="n"/>
      <c r="B3" s="6" t="inlineStr">
        <is>
          <t>Premium Pest Management (Luxury Hospitality &amp; Commercial Properties) Industry Scorecard (4/4/26)</t>
        </is>
      </c>
      <c r="C3" s="3" t="n"/>
      <c r="D3" s="7" t="n"/>
      <c r="E3" s="7" t="n"/>
      <c r="F3" s="7" t="n"/>
      <c r="G3" s="5" t="n"/>
      <c r="H3" s="5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6" customHeight="1">
      <c r="A4" s="8" t="n"/>
      <c r="B4" s="8" t="n"/>
      <c r="C4" s="8" t="n"/>
      <c r="D4" s="9" t="n"/>
      <c r="E4" s="9" t="n"/>
      <c r="F4" s="9" t="n"/>
      <c r="G4" s="9" t="n"/>
      <c r="H4" s="9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4.25" customHeight="1">
      <c r="A5" s="8" t="n"/>
      <c r="B5" s="10" t="inlineStr">
        <is>
          <t>Premium Pest Management Industry Scorecard</t>
        </is>
      </c>
      <c r="C5" s="15" t="inlineStr">
        <is>
          <t>Score</t>
        </is>
      </c>
      <c r="D5" s="12" t="inlineStr">
        <is>
          <t>Weight</t>
        </is>
      </c>
      <c r="E5" s="13" t="inlineStr">
        <is>
          <t>Evaluation</t>
        </is>
      </c>
      <c r="F5" s="14" t="n"/>
      <c r="G5" s="63" t="inlineStr">
        <is>
          <t>Criteria for Evaluation</t>
        </is>
      </c>
      <c r="H5" s="64" t="n"/>
      <c r="I5" s="65" t="n"/>
      <c r="J5" s="18" t="inlineStr">
        <is>
          <t>General Commentary / Supporting Data</t>
        </is>
      </c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3.5" customHeight="1">
      <c r="A6" s="8" t="n"/>
      <c r="B6" s="19" t="n"/>
      <c r="C6" s="20" t="inlineStr">
        <is>
          <t>(1-3)</t>
        </is>
      </c>
      <c r="D6" s="21" t="inlineStr">
        <is>
          <t>(%)</t>
        </is>
      </c>
      <c r="E6" s="22" t="inlineStr">
        <is>
          <t>+/-</t>
        </is>
      </c>
      <c r="F6" s="23" t="n"/>
      <c r="G6" s="22" t="inlineStr">
        <is>
          <t>+</t>
        </is>
      </c>
      <c r="H6" s="22" t="inlineStr">
        <is>
          <t>+/-</t>
        </is>
      </c>
      <c r="I6" s="24" t="inlineStr">
        <is>
          <t>-</t>
        </is>
      </c>
      <c r="J6" s="25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6" customHeight="1">
      <c r="A7" s="8" t="n"/>
      <c r="B7" s="26" t="n"/>
      <c r="C7" s="27" t="n"/>
      <c r="D7" s="28" t="n"/>
      <c r="E7" s="28" t="n"/>
      <c r="F7" s="29" t="n"/>
      <c r="G7" s="28" t="n"/>
      <c r="H7" s="28" t="n"/>
      <c r="I7" s="29" t="n"/>
      <c r="J7" s="30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3.5" customHeight="1">
      <c r="A8" s="8" t="n"/>
      <c r="B8" s="26" t="inlineStr">
        <is>
          <t>Growth, Penetration and Catalyst</t>
        </is>
      </c>
      <c r="C8" s="31" t="n">
        <v>2.75</v>
      </c>
      <c r="D8" s="32" t="n">
        <v>0.25</v>
      </c>
      <c r="E8" s="33" t="n"/>
      <c r="F8" s="34" t="n"/>
      <c r="G8" s="8" t="n"/>
      <c r="H8" s="8" t="n"/>
      <c r="I8" s="34" t="n"/>
      <c r="J8" s="35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2.75" customHeight="1">
      <c r="A9" s="8" t="n"/>
      <c r="B9" s="36" t="inlineStr">
        <is>
          <t>- Growth relative to GDP (5 yr CAGR)</t>
        </is>
      </c>
      <c r="C9" s="37" t="n"/>
      <c r="D9" s="38" t="n">
        <v>3</v>
      </c>
      <c r="E9" s="39" t="inlineStr">
        <is>
          <t>+</t>
        </is>
      </c>
      <c r="F9" s="34" t="n"/>
      <c r="G9" s="8" t="inlineStr">
        <is>
          <t>&gt;3x GDP growth</t>
        </is>
      </c>
      <c r="H9" s="8" t="inlineStr">
        <is>
          <t>1-3x GDP growth</t>
        </is>
      </c>
      <c r="I9" s="34" t="inlineStr">
        <is>
          <t>Growth with GDP or below</t>
        </is>
      </c>
      <c r="J9" s="35" t="inlineStr">
        <is>
          <t>5-6% CAGR vs ~3% GDP = ~2x, solid. Commercial grew 9% in 2024.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2.75" customHeight="1">
      <c r="A10" s="8" t="n"/>
      <c r="B10" s="36" t="inlineStr">
        <is>
          <t>- Industry penetration</t>
        </is>
      </c>
      <c r="C10" s="37" t="n"/>
      <c r="D10" s="38" t="n">
        <v>3</v>
      </c>
      <c r="E10" s="40" t="inlineStr">
        <is>
          <t>+</t>
        </is>
      </c>
      <c r="F10" s="34" t="n"/>
      <c r="G10" s="8" t="inlineStr">
        <is>
          <t>Strong catalyst</t>
        </is>
      </c>
      <c r="H10" s="8" t="inlineStr">
        <is>
          <t>Potential catalyst</t>
        </is>
      </c>
      <c r="I10" s="34" t="inlineStr">
        <is>
          <t>No clear catalyst</t>
        </is>
      </c>
      <c r="J10" s="35" t="inlineStr">
        <is>
          <t>FDA/FSMA enforcement expanding, third-party audit proliferation.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2.75" customHeight="1">
      <c r="A11" s="8" t="n"/>
      <c r="B11" s="36" t="inlineStr">
        <is>
          <t>- future growth expectations</t>
        </is>
      </c>
      <c r="C11" s="37" t="n"/>
      <c r="D11" s="38" t="n">
        <v>3</v>
      </c>
      <c r="E11" s="40" t="inlineStr">
        <is>
          <t>+</t>
        </is>
      </c>
      <c r="F11" s="34" t="n"/>
      <c r="G11" s="8" t="inlineStr">
        <is>
          <t>Mostly Tailwinds</t>
        </is>
      </c>
      <c r="H11" s="8" t="inlineStr">
        <is>
          <t>Mix of Tailwinds/Headwinds</t>
        </is>
      </c>
      <c r="I11" s="34" t="inlineStr">
        <is>
          <t>Mostly Headwinds</t>
        </is>
      </c>
      <c r="J11" s="35" t="inlineStr">
        <is>
          <t>Climate, regulation, hospitality rebound — all tailwinds.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2.75" customHeight="1">
      <c r="A12" s="8" t="n"/>
      <c r="B12" s="41" t="inlineStr">
        <is>
          <t>- Evidence to support a catalyst</t>
        </is>
      </c>
      <c r="C12" s="42" t="n"/>
      <c r="D12" s="43" t="n">
        <v>2</v>
      </c>
      <c r="E12" s="39" t="inlineStr">
        <is>
          <t>+/-</t>
        </is>
      </c>
      <c r="F12" s="44" t="n"/>
      <c r="G12" s="45" t="inlineStr">
        <is>
          <t>Strong catalyst</t>
        </is>
      </c>
      <c r="H12" s="45" t="inlineStr">
        <is>
          <t>Potential catalyst</t>
        </is>
      </c>
      <c r="I12" s="44" t="inlineStr">
        <is>
          <t>No clear catalyst</t>
        </is>
      </c>
      <c r="J12" s="46" t="inlineStr">
        <is>
          <t>NPMA: 8% industry growth 2024. Growing but not explosive single catalyst.</t>
        </is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2.75" customHeight="1">
      <c r="A13" s="8" t="n"/>
      <c r="B13" s="26" t="inlineStr">
        <is>
          <t>Size and Fragmentation</t>
        </is>
      </c>
      <c r="C13" s="31" t="n">
        <v>3</v>
      </c>
      <c r="D13" s="32" t="n">
        <v>3</v>
      </c>
      <c r="E13" s="33" t="n"/>
      <c r="F13" s="34" t="n"/>
      <c r="G13" s="8" t="n"/>
      <c r="H13" s="8" t="n"/>
      <c r="I13" s="34" t="n"/>
      <c r="J13" s="35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2.75" customHeight="1">
      <c r="A14" s="8" t="n"/>
      <c r="B14" s="36" t="inlineStr">
        <is>
          <t>- Number of players</t>
        </is>
      </c>
      <c r="C14" s="37" t="n"/>
      <c r="D14" s="38" t="n">
        <v>3</v>
      </c>
      <c r="E14" s="40" t="inlineStr">
        <is>
          <t>+</t>
        </is>
      </c>
      <c r="F14" s="34" t="n"/>
      <c r="G14" s="8" t="inlineStr">
        <is>
          <t>Thousands of players</t>
        </is>
      </c>
      <c r="H14" s="8" t="inlineStr">
        <is>
          <t>Hundreds of players</t>
        </is>
      </c>
      <c r="I14" s="8" t="inlineStr">
        <is>
          <t>Dozens of players</t>
        </is>
      </c>
      <c r="J14" s="35" t="inlineStr">
        <is>
          <t>19,000+ firms. Massive fragmentation. No firm &gt;15% share.</t>
        </is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2.75" customHeight="1">
      <c r="A15" s="8" t="n"/>
      <c r="B15" s="41" t="inlineStr">
        <is>
          <t>- Market share concentration</t>
        </is>
      </c>
      <c r="C15" s="42" t="n"/>
      <c r="D15" s="43" t="n">
        <v>3</v>
      </c>
      <c r="E15" s="40" t="inlineStr">
        <is>
          <t>+</t>
        </is>
      </c>
      <c r="F15" s="44" t="n"/>
      <c r="G15" s="45" t="inlineStr">
        <is>
          <t>Largest have &lt;10% mkt sh.</t>
        </is>
      </c>
      <c r="H15" s="45" t="inlineStr">
        <is>
          <t>Largest have &lt;25% mkt sh.</t>
        </is>
      </c>
      <c r="I15" s="44" t="inlineStr">
        <is>
          <t>Largest have &gt;50% mkt sh.</t>
        </is>
      </c>
      <c r="J15" s="46" t="inlineStr">
        <is>
          <t>Rentokil largest at ~12%. Thousands of sub-$5M family operators.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2.75" customHeight="1">
      <c r="A16" s="8" t="n"/>
      <c r="B16" s="26" t="inlineStr">
        <is>
          <t>Industry Economics</t>
        </is>
      </c>
      <c r="C16" s="31" t="n">
        <v>3</v>
      </c>
      <c r="D16" s="32" t="n">
        <v>2.667</v>
      </c>
      <c r="E16" s="33" t="n"/>
      <c r="F16" s="34" t="n"/>
      <c r="G16" s="8" t="n"/>
      <c r="H16" s="8" t="n"/>
      <c r="I16" s="34" t="n"/>
      <c r="J16" s="35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2.75" customHeight="1">
      <c r="A17" s="8" t="n"/>
      <c r="B17" s="36" t="inlineStr">
        <is>
          <t>- Average industry gross margins</t>
        </is>
      </c>
      <c r="C17" s="37" t="n"/>
      <c r="D17" s="38" t="n">
        <v>3</v>
      </c>
      <c r="E17" s="40" t="inlineStr">
        <is>
          <t>+</t>
        </is>
      </c>
      <c r="F17" s="34" t="n"/>
      <c r="G17" s="8" t="inlineStr">
        <is>
          <t>60-90% gross margins</t>
        </is>
      </c>
      <c r="H17" s="8" t="inlineStr">
        <is>
          <t>40-60% gross margins</t>
        </is>
      </c>
      <c r="I17" s="34" t="inlineStr">
        <is>
          <t>10-40% gross margins</t>
        </is>
      </c>
      <c r="J17" s="35" t="inlineStr">
        <is>
          <t>60-70% gross margins. Chemical costs low relative to service fees.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2.75" customHeight="1">
      <c r="A18" s="8" t="n"/>
      <c r="B18" s="36" t="inlineStr">
        <is>
          <t>- Average industry EBITDA margins</t>
        </is>
      </c>
      <c r="C18" s="37" t="n"/>
      <c r="D18" s="38" t="n">
        <v>3</v>
      </c>
      <c r="E18" s="40" t="inlineStr">
        <is>
          <t>+</t>
        </is>
      </c>
      <c r="F18" s="34" t="n"/>
      <c r="G18" s="8" t="inlineStr">
        <is>
          <t>30-60% EBITDA margins</t>
        </is>
      </c>
      <c r="H18" s="8" t="inlineStr">
        <is>
          <t>10-30% EBITDA margins</t>
        </is>
      </c>
      <c r="I18" s="34" t="inlineStr">
        <is>
          <t>&lt;10% EBITDA margins</t>
        </is>
      </c>
      <c r="J18" s="35" t="inlineStr">
        <is>
          <t>25-35% EBITDA for well-run operators. Highest of any niche evaluated.</t>
        </is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2.75" customHeight="1">
      <c r="A19" s="8" t="n"/>
      <c r="B19" s="41" t="inlineStr">
        <is>
          <t>- Average industry ROTC</t>
        </is>
      </c>
      <c r="C19" s="42" t="n"/>
      <c r="D19" s="43" t="n">
        <v>3</v>
      </c>
      <c r="E19" s="39" t="inlineStr">
        <is>
          <t>+</t>
        </is>
      </c>
      <c r="F19" s="44" t="n"/>
      <c r="G19" s="45" t="inlineStr">
        <is>
          <t>&gt;20% ROTC</t>
        </is>
      </c>
      <c r="H19" s="45" t="inlineStr">
        <is>
          <t>10-20% ROTC</t>
        </is>
      </c>
      <c r="I19" s="44" t="inlineStr">
        <is>
          <t>&lt;10% ROTC</t>
        </is>
      </c>
      <c r="J19" s="46" t="inlineStr">
        <is>
          <t>Asset-light. Trucks + chemicals, minimal capital. High cash conversion.</t>
        </is>
      </c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2.75" customHeight="1">
      <c r="A20" s="8" t="n"/>
      <c r="B20" s="26" t="inlineStr">
        <is>
          <t>Mission Criticality</t>
        </is>
      </c>
      <c r="C20" s="31" t="n">
        <v>2.67</v>
      </c>
      <c r="D20" s="32" t="n">
        <v>3</v>
      </c>
      <c r="E20" s="33" t="n"/>
      <c r="F20" s="34" t="n"/>
      <c r="G20" s="8" t="n"/>
      <c r="H20" s="8" t="n"/>
      <c r="I20" s="34" t="n"/>
      <c r="J20" s="35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2.75" customHeight="1">
      <c r="A21" s="8" t="n"/>
      <c r="B21" s="36" t="inlineStr">
        <is>
          <t>- Average customer feedback</t>
        </is>
      </c>
      <c r="C21" s="37" t="n"/>
      <c r="D21" s="38" t="n">
        <v>3</v>
      </c>
      <c r="E21" s="39" t="inlineStr">
        <is>
          <t>+</t>
        </is>
      </c>
      <c r="F21" s="34" t="n"/>
      <c r="G21" s="8" t="inlineStr">
        <is>
          <t>Positive customer feedback</t>
        </is>
      </c>
      <c r="H21" s="8" t="inlineStr">
        <is>
          <t>Neutral feedback</t>
        </is>
      </c>
      <c r="I21" s="34" t="inlineStr">
        <is>
          <t>Negative feedback</t>
        </is>
      </c>
      <c r="J21" s="35" t="inlineStr">
        <is>
          <t>Pest = urgent, visible problem. Non-discretionary. Zero price sensitivity.</t>
        </is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2.75" customHeight="1">
      <c r="A22" s="8" t="n"/>
      <c r="B22" s="36" t="inlineStr">
        <is>
          <t>- Clarity of value proposition</t>
        </is>
      </c>
      <c r="C22" s="37" t="n"/>
      <c r="D22" s="38" t="n">
        <v>3</v>
      </c>
      <c r="E22" s="40" t="inlineStr">
        <is>
          <t>+</t>
        </is>
      </c>
      <c r="F22" s="34" t="n"/>
      <c r="G22" s="8" t="inlineStr">
        <is>
          <t>Clear value proposition</t>
        </is>
      </c>
      <c r="H22" s="8" t="inlineStr">
        <is>
          <t>Weaker value proposition</t>
        </is>
      </c>
      <c r="I22" s="34" t="inlineStr">
        <is>
          <t>Unclear value proposition</t>
        </is>
      </c>
      <c r="J22" s="35" t="inlineStr">
        <is>
          <t>Regulatory mandate for food/hospitality. Cannot operate without it.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2.75" customHeight="1">
      <c r="A23" s="8" t="n"/>
      <c r="B23" s="41" t="inlineStr">
        <is>
          <t>- Customer switching costs</t>
        </is>
      </c>
      <c r="C23" s="42" t="n"/>
      <c r="D23" s="43" t="n">
        <v>2</v>
      </c>
      <c r="E23" s="40" t="inlineStr">
        <is>
          <t>+/-</t>
        </is>
      </c>
      <c r="F23" s="44" t="n"/>
      <c r="G23" s="45" t="inlineStr">
        <is>
          <t>High customers switch costs</t>
        </is>
      </c>
      <c r="H23" s="45" t="inlineStr">
        <is>
          <t>Can be replaced w/effort</t>
        </is>
      </c>
      <c r="I23" s="44" t="inlineStr">
        <is>
          <t>Easy to replace</t>
        </is>
      </c>
      <c r="J23" s="46" t="inlineStr">
        <is>
          <t>HACCP documentation creates switching costs. General pest is easier to switch.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2.75" customHeight="1">
      <c r="A24" s="8" t="n"/>
      <c r="B24" s="26" t="inlineStr">
        <is>
          <t>Exogeneous Risks</t>
        </is>
      </c>
      <c r="C24" s="31" t="n">
        <v>2.6</v>
      </c>
      <c r="D24" s="32" t="n">
        <v>2.6</v>
      </c>
      <c r="E24" s="33" t="n"/>
      <c r="F24" s="34" t="n"/>
      <c r="G24" s="8" t="n"/>
      <c r="H24" s="8" t="n"/>
      <c r="I24" s="34" t="n"/>
      <c r="J24" s="35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2.75" customHeight="1">
      <c r="A25" s="8" t="n"/>
      <c r="B25" s="36" t="inlineStr">
        <is>
          <t>- Visibility on tech adoption and obsolescence</t>
        </is>
      </c>
      <c r="C25" s="37" t="n"/>
      <c r="D25" s="38" t="n">
        <v>2</v>
      </c>
      <c r="E25" s="39" t="inlineStr">
        <is>
          <t>+/-</t>
        </is>
      </c>
      <c r="F25" s="34" t="n"/>
      <c r="G25" s="8" t="inlineStr">
        <is>
          <t>High visibility</t>
        </is>
      </c>
      <c r="H25" s="8" t="inlineStr">
        <is>
          <t>Some visibility</t>
        </is>
      </c>
      <c r="I25" s="34" t="inlineStr">
        <is>
          <t>No visibility</t>
        </is>
      </c>
      <c r="J25" s="35" t="inlineStr">
        <is>
          <t>IoT/digital monitoring emerging but enhances, does not replace.</t>
        </is>
      </c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2.75" customHeight="1">
      <c r="A26" s="8" t="n"/>
      <c r="B26" s="36" t="inlineStr">
        <is>
          <t>- Regulatory risk and frequency of changes</t>
        </is>
      </c>
      <c r="C26" s="37" t="n"/>
      <c r="D26" s="38" t="n">
        <v>3</v>
      </c>
      <c r="E26" s="39" t="inlineStr">
        <is>
          <t>+</t>
        </is>
      </c>
      <c r="F26" s="34" t="n"/>
      <c r="G26" s="8" t="inlineStr">
        <is>
          <t>Low risk and frequency</t>
        </is>
      </c>
      <c r="H26" s="8" t="inlineStr">
        <is>
          <t>Some risk and frequency</t>
        </is>
      </c>
      <c r="I26" s="34" t="inlineStr">
        <is>
          <t>High risk and frequency</t>
        </is>
      </c>
      <c r="J26" s="35" t="inlineStr">
        <is>
          <t>Regulation is a TAILWIND — more regulation = more demand.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2.75" customHeight="1">
      <c r="A27" s="8" t="n"/>
      <c r="B27" s="36" t="inlineStr">
        <is>
          <t>- Liability risks</t>
        </is>
      </c>
      <c r="C27" s="37" t="n"/>
      <c r="D27" s="38" t="n">
        <v>2</v>
      </c>
      <c r="E27" s="39" t="inlineStr">
        <is>
          <t>+/-</t>
        </is>
      </c>
      <c r="F27" s="34" t="n"/>
      <c r="G27" s="8" t="inlineStr">
        <is>
          <t>Low liability risks</t>
        </is>
      </c>
      <c r="H27" s="8" t="inlineStr">
        <is>
          <t>Some liability risks</t>
        </is>
      </c>
      <c r="I27" s="34" t="inlineStr">
        <is>
          <t>High liability risks</t>
        </is>
      </c>
      <c r="J27" s="35" t="inlineStr">
        <is>
          <t>Chemical handling liability. Professional liability insurance required.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2.75" customHeight="1">
      <c r="A28" s="8" t="n"/>
      <c r="B28" s="36" t="inlineStr">
        <is>
          <t>- Cyclicality</t>
        </is>
      </c>
      <c r="C28" s="37" t="n"/>
      <c r="D28" s="38" t="n">
        <v>3</v>
      </c>
      <c r="E28" s="39" t="inlineStr">
        <is>
          <t>+</t>
        </is>
      </c>
      <c r="F28" s="34" t="n"/>
      <c r="G28" s="8" t="inlineStr">
        <is>
          <t>Low cyclicality</t>
        </is>
      </c>
      <c r="H28" s="8" t="inlineStr">
        <is>
          <t>Some cyclicality</t>
        </is>
      </c>
      <c r="I28" s="34" t="inlineStr">
        <is>
          <t>High cyclicality</t>
        </is>
      </c>
      <c r="J28" s="35" t="inlineStr">
        <is>
          <t>Non-discretionary, recession-resistant. Pest problems don't wait.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2.75" customHeight="1">
      <c r="A29" s="8" t="n"/>
      <c r="B29" s="41" t="inlineStr">
        <is>
          <t>- Exposure to trends</t>
        </is>
      </c>
      <c r="C29" s="42" t="n"/>
      <c r="D29" s="43" t="n">
        <v>3</v>
      </c>
      <c r="E29" s="40" t="inlineStr">
        <is>
          <t>+</t>
        </is>
      </c>
      <c r="F29" s="44" t="n"/>
      <c r="G29" s="45" t="inlineStr">
        <is>
          <t>High resiliency to trends</t>
        </is>
      </c>
      <c r="H29" s="45" t="inlineStr">
        <is>
          <t>Some resiliency to trends</t>
        </is>
      </c>
      <c r="I29" s="44" t="inlineStr">
        <is>
          <t>Changing trends</t>
        </is>
      </c>
      <c r="J29" s="46" t="inlineStr">
        <is>
          <t>Climate change increases pest pressure. Structural demand growth.</t>
        </is>
      </c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2.75" customHeight="1">
      <c r="A30" s="8" t="n"/>
      <c r="B30" s="26" t="inlineStr">
        <is>
          <t>Porter's Five Forces</t>
        </is>
      </c>
      <c r="C30" s="31" t="n">
        <v>2.83</v>
      </c>
      <c r="D30" s="32" t="n">
        <v>2.667</v>
      </c>
      <c r="E30" s="33" t="n"/>
      <c r="F30" s="34" t="n"/>
      <c r="G30" s="8" t="n"/>
      <c r="H30" s="8" t="n"/>
      <c r="I30" s="34" t="n"/>
      <c r="J30" s="35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2.75" customHeight="1">
      <c r="A31" s="8" t="n"/>
      <c r="B31" s="36" t="inlineStr">
        <is>
          <t>- Prevalence of VC-backed startups</t>
        </is>
      </c>
      <c r="C31" s="37" t="n"/>
      <c r="D31" s="38" t="n">
        <v>3</v>
      </c>
      <c r="E31" s="39" t="inlineStr">
        <is>
          <t>+</t>
        </is>
      </c>
      <c r="F31" s="34" t="n"/>
      <c r="G31" s="8" t="inlineStr">
        <is>
          <t>Low</t>
        </is>
      </c>
      <c r="H31" s="8" t="inlineStr">
        <is>
          <t>Some</t>
        </is>
      </c>
      <c r="I31" s="34" t="inlineStr">
        <is>
          <t>High</t>
        </is>
      </c>
      <c r="J31" s="35" t="inlineStr">
        <is>
          <t>Very few VC-backed entrants. Not a tech-disruption target.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2.75" customHeight="1">
      <c r="A32" s="8" t="n"/>
      <c r="B32" s="36" t="inlineStr">
        <is>
          <t>- Level of competition</t>
        </is>
      </c>
      <c r="C32" s="37" t="n"/>
      <c r="D32" s="38" t="n">
        <v>2</v>
      </c>
      <c r="E32" s="40" t="inlineStr">
        <is>
          <t>+/-</t>
        </is>
      </c>
      <c r="F32" s="34" t="n"/>
      <c r="G32" s="8" t="inlineStr">
        <is>
          <t>Low</t>
        </is>
      </c>
      <c r="H32" s="8" t="inlineStr">
        <is>
          <t>Some</t>
        </is>
      </c>
      <c r="I32" s="34" t="inlineStr">
        <is>
          <t>High</t>
        </is>
      </c>
      <c r="J32" s="35" t="inlineStr">
        <is>
          <t>PE roll-ups active (60% of M&amp;A) but market vast (19,000+ firms).</t>
        </is>
      </c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2.75" customHeight="1">
      <c r="A33" s="8" t="n"/>
      <c r="B33" s="36" t="inlineStr">
        <is>
          <t>- State of new entrants</t>
        </is>
      </c>
      <c r="C33" s="37" t="n"/>
      <c r="D33" s="38" t="n">
        <v>3</v>
      </c>
      <c r="E33" s="39" t="inlineStr">
        <is>
          <t>+</t>
        </is>
      </c>
      <c r="F33" s="34" t="n"/>
      <c r="G33" s="8" t="inlineStr">
        <is>
          <t>Low</t>
        </is>
      </c>
      <c r="H33" s="8" t="inlineStr">
        <is>
          <t>Some</t>
        </is>
      </c>
      <c r="I33" s="34" t="inlineStr">
        <is>
          <t>High</t>
        </is>
      </c>
      <c r="J33" s="35" t="inlineStr">
        <is>
          <t>State licensing required. Not zero barrier but not prohibitive.</t>
        </is>
      </c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2.75" customHeight="1">
      <c r="A34" s="8" t="n"/>
      <c r="B34" s="36" t="inlineStr">
        <is>
          <t>- Level of supplier power</t>
        </is>
      </c>
      <c r="C34" s="37" t="n"/>
      <c r="D34" s="47" t="n">
        <v>3</v>
      </c>
      <c r="E34" s="40" t="inlineStr">
        <is>
          <t>+</t>
        </is>
      </c>
      <c r="F34" s="34" t="n"/>
      <c r="G34" s="8" t="inlineStr">
        <is>
          <t>Low</t>
        </is>
      </c>
      <c r="H34" s="8" t="inlineStr">
        <is>
          <t>Some</t>
        </is>
      </c>
      <c r="I34" s="34" t="inlineStr">
        <is>
          <t>High</t>
        </is>
      </c>
      <c r="J34" s="35" t="inlineStr">
        <is>
          <t>Chemicals are commodity inputs. No supplier leverage.</t>
        </is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2.75" customHeight="1">
      <c r="A35" s="8" t="n"/>
      <c r="B35" s="36" t="inlineStr">
        <is>
          <t>- Level of customer power</t>
        </is>
      </c>
      <c r="C35" s="37" t="n"/>
      <c r="D35" s="38" t="n">
        <v>3</v>
      </c>
      <c r="E35" s="40" t="inlineStr">
        <is>
          <t>+</t>
        </is>
      </c>
      <c r="F35" s="34" t="n"/>
      <c r="G35" s="8" t="inlineStr">
        <is>
          <t>Low</t>
        </is>
      </c>
      <c r="H35" s="8" t="inlineStr">
        <is>
          <t>Some</t>
        </is>
      </c>
      <c r="I35" s="34" t="inlineStr">
        <is>
          <t>High</t>
        </is>
      </c>
      <c r="J35" s="35" t="inlineStr">
        <is>
          <t>Customers cannot opt out of pest control. Regulatory mandate.</t>
        </is>
      </c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2.75" customHeight="1">
      <c r="A36" s="8" t="n"/>
      <c r="B36" s="41" t="inlineStr">
        <is>
          <t>- Threat of substitutes</t>
        </is>
      </c>
      <c r="C36" s="42" t="n"/>
      <c r="D36" s="43" t="n">
        <v>3</v>
      </c>
      <c r="E36" s="40" t="inlineStr">
        <is>
          <t>+</t>
        </is>
      </c>
      <c r="F36" s="44" t="n"/>
      <c r="G36" s="45" t="inlineStr">
        <is>
          <t>Low</t>
        </is>
      </c>
      <c r="H36" s="45" t="inlineStr">
        <is>
          <t>Some</t>
        </is>
      </c>
      <c r="I36" s="44" t="inlineStr">
        <is>
          <t>High</t>
        </is>
      </c>
      <c r="J36" s="46" t="inlineStr">
        <is>
          <t>No substitutes exist for professional pest management.</t>
        </is>
      </c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2.75" customHeight="1">
      <c r="A37" s="8" t="n"/>
      <c r="B37" s="26" t="inlineStr">
        <is>
          <t>Value Creation Opportunities</t>
        </is>
      </c>
      <c r="C37" s="31" t="n">
        <v>2.5</v>
      </c>
      <c r="D37" s="32" t="n">
        <v>3</v>
      </c>
      <c r="E37" s="33" t="n"/>
      <c r="F37" s="34" t="n"/>
      <c r="G37" s="8" t="n"/>
      <c r="H37" s="8" t="n"/>
      <c r="I37" s="34" t="n"/>
      <c r="J37" s="35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2.75" customHeight="1">
      <c r="A38" s="8" t="n"/>
      <c r="B38" s="36" t="inlineStr">
        <is>
          <t>- General complexity of businesses</t>
        </is>
      </c>
      <c r="C38" s="37" t="n"/>
      <c r="D38" s="38" t="n">
        <v>2</v>
      </c>
      <c r="E38" s="40" t="inlineStr">
        <is>
          <t>+/-</t>
        </is>
      </c>
      <c r="F38" s="34" t="n"/>
      <c r="G38" s="8" t="inlineStr">
        <is>
          <t>Simple businesses</t>
        </is>
      </c>
      <c r="H38" s="8" t="inlineStr">
        <is>
          <t>Moderate complexity</t>
        </is>
      </c>
      <c r="I38" s="34" t="inlineStr">
        <is>
          <t>Complex businesses</t>
        </is>
      </c>
      <c r="J38" s="35" t="inlineStr">
        <is>
          <t>Moderate — route-based operations are systematizable.</t>
        </is>
      </c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2.75" customHeight="1">
      <c r="A39" s="8" t="n"/>
      <c r="B39" s="41" t="inlineStr">
        <is>
          <t>- Professionalization opportunities</t>
        </is>
      </c>
      <c r="C39" s="42" t="n"/>
      <c r="D39" s="43" t="n">
        <v>3</v>
      </c>
      <c r="E39" s="40" t="inlineStr">
        <is>
          <t>+</t>
        </is>
      </c>
      <c r="F39" s="44" t="n"/>
      <c r="G39" s="45" t="inlineStr">
        <is>
          <t>Several actionable levers</t>
        </is>
      </c>
      <c r="H39" s="45" t="inlineStr">
        <is>
          <t>Some actionable levers</t>
        </is>
      </c>
      <c r="I39" s="44" t="inlineStr">
        <is>
          <t>Technical skills required</t>
        </is>
      </c>
      <c r="J39" s="46" t="inlineStr">
        <is>
          <t>Tech-enable: digital monitoring, automated compliance reporting, IoT sensors.</t>
        </is>
      </c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2.75" customHeight="1">
      <c r="A40" s="8" t="n"/>
      <c r="B40" s="26" t="inlineStr">
        <is>
          <t>Impact and Externalities</t>
        </is>
      </c>
      <c r="C40" s="31" t="n">
        <v>3</v>
      </c>
      <c r="D40" s="32" t="n">
        <v>3</v>
      </c>
      <c r="E40" s="33" t="n"/>
      <c r="F40" s="34" t="n"/>
      <c r="G40" s="8" t="n"/>
      <c r="H40" s="8" t="n"/>
      <c r="I40" s="34" t="n"/>
      <c r="J40" s="35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2.75" customHeight="1">
      <c r="A41" s="8" t="n"/>
      <c r="B41" s="36" t="inlineStr">
        <is>
          <t>- Net impact to society</t>
        </is>
      </c>
      <c r="C41" s="37" t="n"/>
      <c r="D41" s="38" t="n">
        <v>3</v>
      </c>
      <c r="E41" s="40" t="inlineStr">
        <is>
          <t>+</t>
        </is>
      </c>
      <c r="F41" s="34" t="n"/>
      <c r="G41" s="8" t="inlineStr">
        <is>
          <t>Net positive impact</t>
        </is>
      </c>
      <c r="H41" s="8" t="inlineStr">
        <is>
          <t>Neutral impact</t>
        </is>
      </c>
      <c r="I41" s="34" t="inlineStr">
        <is>
          <t>Net negative impact</t>
        </is>
      </c>
      <c r="J41" s="35" t="inlineStr">
        <is>
          <t>Public health, food safety, disease prevention.</t>
        </is>
      </c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2.75" customHeight="1">
      <c r="A42" s="8" t="n"/>
      <c r="B42" s="48" t="inlineStr">
        <is>
          <t>- Positive or negative externalities</t>
        </is>
      </c>
      <c r="C42" s="49" t="n"/>
      <c r="D42" s="38" t="n">
        <v>3</v>
      </c>
      <c r="E42" s="40" t="inlineStr">
        <is>
          <t>+</t>
        </is>
      </c>
      <c r="F42" s="50" t="n"/>
      <c r="G42" s="51" t="inlineStr">
        <is>
          <t>Positive externalities</t>
        </is>
      </c>
      <c r="H42" s="51" t="inlineStr">
        <is>
          <t>Neutral externalities</t>
        </is>
      </c>
      <c r="I42" s="50" t="inlineStr">
        <is>
          <t>Negative externalities</t>
        </is>
      </c>
      <c r="J42" s="52" t="inlineStr">
        <is>
          <t>Protects food supply, prevents disease transmission.</t>
        </is>
      </c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3.5" customHeight="1">
      <c r="A43" s="8" t="n"/>
      <c r="B43" s="53" t="inlineStr">
        <is>
          <t>Total Score</t>
        </is>
      </c>
      <c r="C43" s="31" t="n">
        <v>2.73</v>
      </c>
      <c r="D43" s="54" t="inlineStr">
        <is>
          <t>Commentary: N/A</t>
        </is>
      </c>
      <c r="E43" s="54" t="n"/>
      <c r="F43" s="55" t="n"/>
      <c r="G43" s="55" t="n"/>
      <c r="H43" s="55" t="n"/>
      <c r="I43" s="55" t="n"/>
      <c r="J43" s="56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3.5" customHeight="1">
      <c r="A44" s="8" t="n"/>
      <c r="B44" s="8" t="n"/>
      <c r="C44" s="8" t="n"/>
      <c r="D44" s="57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>
      <c r="A45" s="8" t="n"/>
      <c r="B45" s="58" t="inlineStr">
        <is>
          <t>WW - Company Scorecard</t>
        </is>
      </c>
      <c r="C45" s="15" t="inlineStr">
        <is>
          <t>Score</t>
        </is>
      </c>
      <c r="D45" s="12" t="inlineStr">
        <is>
          <t>Weight</t>
        </is>
      </c>
      <c r="E45" s="13" t="inlineStr">
        <is>
          <t>Evaluation</t>
        </is>
      </c>
      <c r="F45" s="14" t="n"/>
      <c r="G45" s="63" t="inlineStr">
        <is>
          <t>Evaluation</t>
        </is>
      </c>
      <c r="H45" s="64" t="n"/>
      <c r="I45" s="65" t="n"/>
      <c r="J45" s="18" t="inlineStr">
        <is>
          <t>General Commentary / Supporting Data</t>
        </is>
      </c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>
      <c r="A46" s="8" t="n"/>
      <c r="B46" s="19" t="n"/>
      <c r="C46" s="20" t="inlineStr">
        <is>
          <t>(1-10)</t>
        </is>
      </c>
      <c r="D46" s="21" t="inlineStr">
        <is>
          <t>(%)</t>
        </is>
      </c>
      <c r="E46" s="22" t="inlineStr">
        <is>
          <t>+/-</t>
        </is>
      </c>
      <c r="F46" s="23" t="n"/>
      <c r="G46" s="22" t="inlineStr">
        <is>
          <t>+</t>
        </is>
      </c>
      <c r="H46" s="22" t="inlineStr">
        <is>
          <t>+/-</t>
        </is>
      </c>
      <c r="I46" s="24" t="inlineStr">
        <is>
          <t>-</t>
        </is>
      </c>
      <c r="J46" s="25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>
      <c r="A47" s="8" t="n"/>
      <c r="B47" s="59" t="inlineStr">
        <is>
          <t>Clear Value Proposition &amp; Mission Criticality</t>
        </is>
      </c>
      <c r="C47" s="39" t="n">
        <v>5</v>
      </c>
      <c r="D47" s="60" t="n">
        <v>0.15</v>
      </c>
      <c r="E47" s="39" t="n"/>
      <c r="F47" s="34" t="n"/>
      <c r="G47" s="8" t="inlineStr">
        <is>
          <t>Clear value proposition; mission critical for primary ICP (IDN, Hospitals, etc)</t>
        </is>
      </c>
      <c r="H47" s="8" t="inlineStr">
        <is>
          <t>Partial clarity; benefits visible but ROI not always evident across segments</t>
        </is>
      </c>
      <c r="I47" s="34" t="inlineStr">
        <is>
          <t>Unclear value or non-mission-critical; easily delayed or cut from budget</t>
        </is>
      </c>
      <c r="J47" s="35" t="inlineStr">
        <is>
          <t>Strong ROI, though not 100% mission critical</t>
        </is>
      </c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>
      <c r="A48" s="8" t="n"/>
      <c r="B48" s="59" t="inlineStr">
        <is>
          <t>Market is Hospitable (&amp; Sizeable) to Grow</t>
        </is>
      </c>
      <c r="C48" s="39" t="n">
        <v>5</v>
      </c>
      <c r="D48" s="60" t="n">
        <v>0.15</v>
      </c>
      <c r="E48" s="39" t="n"/>
      <c r="F48" s="34" t="n"/>
      <c r="G48" s="8" t="inlineStr">
        <is>
          <t>35% penetration; strong tailwinds</t>
        </is>
      </c>
      <c r="H48" s="8" t="inlineStr">
        <is>
          <t>Growing strong in smaller segments</t>
        </is>
      </c>
      <c r="I48" s="34" t="inlineStr">
        <is>
          <t>Slower growth in larger/target segments</t>
        </is>
      </c>
      <c r="J48" s="35" t="inlineStr">
        <is>
          <t>Underpenetrated market growing &gt;10%</t>
        </is>
      </c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>
      <c r="A49" s="8" t="n"/>
      <c r="B49" s="59" t="inlineStr">
        <is>
          <t>Company has a 'Right to Win' at Attractive ICP</t>
        </is>
      </c>
      <c r="C49" s="39" t="n">
        <v>5</v>
      </c>
      <c r="D49" s="60" t="n">
        <v>0.1</v>
      </c>
      <c r="E49" s="39" t="n"/>
      <c r="F49" s="34" t="n"/>
      <c r="G49" s="8" t="inlineStr">
        <is>
          <t>Wins frequently; strong fit</t>
        </is>
      </c>
      <c r="H49" s="8" t="inlineStr">
        <is>
          <t>Needs brand elevation or credibility</t>
        </is>
      </c>
      <c r="I49" s="34" t="inlineStr">
        <is>
          <t>Poor ICP fit</t>
        </is>
      </c>
      <c r="J49" s="35" t="inlineStr">
        <is>
          <t>Win/loss ratios of 1/3 or more</t>
        </is>
      </c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>
      <c r="A50" s="8" t="n"/>
      <c r="B50" s="59" t="inlineStr">
        <is>
          <t>Company Retains Its Customers</t>
        </is>
      </c>
      <c r="C50" s="39" t="n">
        <v>5</v>
      </c>
      <c r="D50" s="60" t="n">
        <v>0.1</v>
      </c>
      <c r="E50" s="39" t="n"/>
      <c r="F50" s="34" t="n"/>
      <c r="G50" s="8" t="inlineStr">
        <is>
          <t>100% gross / 110% net</t>
        </is>
      </c>
      <c r="H50" s="8" t="inlineStr">
        <is>
          <t>95% gross (industry)</t>
        </is>
      </c>
      <c r="I50" s="34" t="inlineStr">
        <is>
          <t>Usage decreases through time or Churn risk</t>
        </is>
      </c>
      <c r="J50" s="35" t="inlineStr">
        <is>
          <t>100% gross retention, 95% industry ret.</t>
        </is>
      </c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3.5" customHeight="1">
      <c r="A51" s="8" t="n"/>
      <c r="B51" s="59" t="inlineStr">
        <is>
          <t>Revenue Concentration</t>
        </is>
      </c>
      <c r="C51" s="39" t="n">
        <v>5</v>
      </c>
      <c r="D51" s="60" t="n">
        <v>0.1</v>
      </c>
      <c r="E51" s="39" t="n"/>
      <c r="F51" s="34" t="n"/>
      <c r="G51" s="8" t="inlineStr">
        <is>
          <t xml:space="preserve">Low customer concentration; diversified	</t>
        </is>
      </c>
      <c r="H51" s="8" t="inlineStr">
        <is>
          <t xml:space="preserve">1–2 customers = 20–30%	</t>
        </is>
      </c>
      <c r="I51" s="34" t="inlineStr">
        <is>
          <t>High concentration &gt;40%</t>
        </is>
      </c>
      <c r="J51" s="35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>
      <c r="A52" s="8" t="n"/>
      <c r="B52" s="61" t="inlineStr">
        <is>
          <t>Revenue Predictability (transformation opportunity for value creation)</t>
        </is>
      </c>
      <c r="C52" s="39" t="n">
        <v>5</v>
      </c>
      <c r="D52" s="60" t="n">
        <v>0.1</v>
      </c>
      <c r="E52" s="39" t="n"/>
      <c r="F52" s="34" t="n"/>
      <c r="G52" s="8" t="inlineStr">
        <is>
          <t>Partially recurring today, with clear opportunity to increase or convert to a fully recurring model</t>
        </is>
      </c>
      <c r="H52" s="8" t="inlineStr">
        <is>
          <t>Revenue is already largely recurring (e.g., 80–90% contracted or usage-based), limiting transformation upside</t>
        </is>
      </c>
      <c r="I52" s="34" t="inlineStr">
        <is>
          <t>Fully non-recurring or lumpy project-based revenue; unclear or no path to predictability</t>
        </is>
      </c>
      <c r="J52" s="35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>
      <c r="A53" s="8" t="n"/>
      <c r="B53" s="59" t="inlineStr">
        <is>
          <t>Unit Economics are Attractive; Sizeable Co.</t>
        </is>
      </c>
      <c r="C53" s="39" t="n">
        <v>5</v>
      </c>
      <c r="D53" s="60" t="n">
        <v>0.1</v>
      </c>
      <c r="E53" s="39" t="n"/>
      <c r="F53" s="34" t="n"/>
      <c r="G53" s="8" t="inlineStr">
        <is>
          <t xml:space="preserve">High gross margins; &gt;$5M revenue	</t>
        </is>
      </c>
      <c r="H53" s="8" t="inlineStr">
        <is>
          <t xml:space="preserve">Moderate EBITDA / growing margins	</t>
        </is>
      </c>
      <c r="I53" s="34" t="inlineStr">
        <is>
          <t>Small business; low margins</t>
        </is>
      </c>
      <c r="J53" s="35" t="inlineStr">
        <is>
          <t>~80%/~55% recurring/non-rec gross margin</t>
        </is>
      </c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3.5" customHeight="1">
      <c r="A54" s="8" t="n"/>
      <c r="B54" s="59" t="inlineStr">
        <is>
          <t>Technology is Sound; Product is Scalable</t>
        </is>
      </c>
      <c r="C54" s="39" t="n">
        <v>5</v>
      </c>
      <c r="D54" s="60" t="n">
        <v>0.05</v>
      </c>
      <c r="E54" s="39" t="n"/>
      <c r="F54" s="34" t="n"/>
      <c r="G54" s="8" t="inlineStr">
        <is>
          <t xml:space="preserve">Cloud-native, scalable	</t>
        </is>
      </c>
      <c r="H54" s="8" t="inlineStr">
        <is>
          <t xml:space="preserve">Needs modernization	</t>
        </is>
      </c>
      <c r="I54" s="34" t="inlineStr">
        <is>
          <t>Legacy / unscalable</t>
        </is>
      </c>
      <c r="J54" s="35" t="inlineStr">
        <is>
          <t>Multi-tenant modern SaaS hosted in Azure</t>
        </is>
      </c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3.5" customHeight="1">
      <c r="A55" s="8" t="n"/>
      <c r="B55" s="59" t="inlineStr">
        <is>
          <t>Valuation</t>
        </is>
      </c>
      <c r="C55" s="39" t="n">
        <v>5</v>
      </c>
      <c r="D55" s="60" t="n">
        <v>0.05</v>
      </c>
      <c r="E55" s="39" t="n"/>
      <c r="F55" s="34" t="n"/>
      <c r="G55" s="8" t="inlineStr">
        <is>
          <t>Low absolute price (~$10M) or attractive multiple</t>
        </is>
      </c>
      <c r="H55" s="8" t="inlineStr">
        <is>
          <t>Reasonable (~3.5x Revenue)</t>
        </is>
      </c>
      <c r="I55" s="34" t="inlineStr">
        <is>
          <t>High Multiple (~6x ARR) / premium paid</t>
        </is>
      </c>
      <c r="J55" s="35" t="inlineStr">
        <is>
          <t>Paying relatively full price</t>
        </is>
      </c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3.5" customHeight="1">
      <c r="A56" s="8" t="n"/>
      <c r="B56" s="59" t="inlineStr">
        <is>
          <t>Strong team, seller willingness, &amp;  smooth transition path</t>
        </is>
      </c>
      <c r="C56" s="39" t="n">
        <v>5</v>
      </c>
      <c r="D56" s="60" t="n">
        <v>0.1</v>
      </c>
      <c r="E56" s="39" t="n"/>
      <c r="F56" s="8" t="n"/>
      <c r="G56" s="8" t="inlineStr">
        <is>
          <t xml:space="preserve">Seller ready; strong team	</t>
        </is>
      </c>
      <c r="H56" s="8" t="inlineStr">
        <is>
          <t xml:space="preserve">Needs transition or talent adds	</t>
        </is>
      </c>
      <c r="I56" s="8" t="inlineStr">
        <is>
          <t>Seller unwilling or team weak</t>
        </is>
      </c>
      <c r="J56" s="34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3.5" customHeight="1">
      <c r="A57" s="8" t="n"/>
      <c r="B57" s="53" t="inlineStr">
        <is>
          <t>Total Score</t>
        </is>
      </c>
      <c r="C57" s="62">
        <f>SUMPRODUCT(C47:C55,D47:D55)</f>
        <v/>
      </c>
      <c r="D57" s="54" t="n">
        <v>5</v>
      </c>
      <c r="E57" s="54" t="n"/>
      <c r="F57" s="55" t="n"/>
      <c r="G57" s="55" t="n"/>
      <c r="H57" s="55" t="n"/>
      <c r="I57" s="55" t="n"/>
      <c r="J57" s="56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3.5" customHeight="1">
      <c r="A58" s="8" t="n"/>
      <c r="B58" s="8" t="n"/>
      <c r="C58" s="8" t="n"/>
      <c r="D58" s="57">
        <f>SUM(D47:D56)</f>
        <v/>
      </c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3.5" customHeight="1">
      <c r="A59" s="8" t="n"/>
      <c r="B59" s="58" t="inlineStr">
        <is>
          <t>WW - Company Scorecard</t>
        </is>
      </c>
      <c r="C59" s="15" t="inlineStr">
        <is>
          <t>Score</t>
        </is>
      </c>
      <c r="D59" s="12" t="inlineStr">
        <is>
          <t>Weight</t>
        </is>
      </c>
      <c r="E59" s="13" t="inlineStr">
        <is>
          <t>Evaluation</t>
        </is>
      </c>
      <c r="F59" s="14" t="n"/>
      <c r="G59" s="63" t="inlineStr">
        <is>
          <t>Evaluation</t>
        </is>
      </c>
      <c r="H59" s="64" t="n"/>
      <c r="I59" s="65" t="n"/>
      <c r="J59" s="18" t="inlineStr">
        <is>
          <t>General Commentary / Supporting Data</t>
        </is>
      </c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3.5" customHeight="1">
      <c r="A60" s="8" t="n"/>
      <c r="B60" s="19" t="n"/>
      <c r="C60" s="20" t="inlineStr">
        <is>
          <t>(1-10)</t>
        </is>
      </c>
      <c r="D60" s="21" t="inlineStr">
        <is>
          <t>(%)</t>
        </is>
      </c>
      <c r="E60" s="22" t="inlineStr">
        <is>
          <t>+/-</t>
        </is>
      </c>
      <c r="F60" s="23" t="n"/>
      <c r="G60" s="22" t="inlineStr">
        <is>
          <t>+</t>
        </is>
      </c>
      <c r="H60" s="22" t="inlineStr">
        <is>
          <t>+/-</t>
        </is>
      </c>
      <c r="I60" s="24" t="inlineStr">
        <is>
          <t>-</t>
        </is>
      </c>
      <c r="J60" s="25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3.5" customHeight="1">
      <c r="A61" s="8" t="n"/>
      <c r="B61" s="59" t="inlineStr">
        <is>
          <t>Clear Value Proposition &amp; Mission Criticality</t>
        </is>
      </c>
      <c r="C61" s="39" t="n">
        <v>5</v>
      </c>
      <c r="D61" s="60" t="n">
        <v>0.15</v>
      </c>
      <c r="E61" s="39" t="n"/>
      <c r="F61" s="34" t="n"/>
      <c r="G61" s="8" t="inlineStr">
        <is>
          <t>Clear value proposition; mission critical for primary ICP (IDN, Hospitals, etc)</t>
        </is>
      </c>
      <c r="H61" s="8" t="inlineStr">
        <is>
          <t>Partial clarity; benefits visible but ROI not always evident across segments</t>
        </is>
      </c>
      <c r="I61" s="34" t="inlineStr">
        <is>
          <t>Unclear value or non-mission-critical; easily delayed or cut from budget</t>
        </is>
      </c>
      <c r="J61" s="35" t="inlineStr">
        <is>
          <t>Strong ROI, though not 100% mission critical</t>
        </is>
      </c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3.5" customHeight="1">
      <c r="A62" s="8" t="n"/>
      <c r="B62" s="59" t="inlineStr">
        <is>
          <t>Market is Hospitable (&amp; Sizeable) to Grow</t>
        </is>
      </c>
      <c r="C62" s="39" t="n">
        <v>5</v>
      </c>
      <c r="D62" s="60" t="n">
        <v>0.15</v>
      </c>
      <c r="E62" s="39" t="n"/>
      <c r="F62" s="34" t="n"/>
      <c r="G62" s="8" t="inlineStr">
        <is>
          <t>35% penetration; strong tailwinds</t>
        </is>
      </c>
      <c r="H62" s="8" t="inlineStr">
        <is>
          <t>Growing strong in smaller segments</t>
        </is>
      </c>
      <c r="I62" s="34" t="inlineStr">
        <is>
          <t>Slower growth in larger/target segments</t>
        </is>
      </c>
      <c r="J62" s="35" t="inlineStr">
        <is>
          <t>Underpenetrated market growing &gt;10%</t>
        </is>
      </c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3.5" customHeight="1">
      <c r="A63" s="8" t="n"/>
      <c r="B63" s="59" t="inlineStr">
        <is>
          <t>Company has a 'Right to Win' at Attractive ICP</t>
        </is>
      </c>
      <c r="C63" s="39" t="n">
        <v>5</v>
      </c>
      <c r="D63" s="60" t="n">
        <v>0.1</v>
      </c>
      <c r="E63" s="39" t="n"/>
      <c r="F63" s="34" t="n"/>
      <c r="G63" s="8" t="inlineStr">
        <is>
          <t>Wins frequently; strong fit</t>
        </is>
      </c>
      <c r="H63" s="8" t="inlineStr">
        <is>
          <t>Needs brand elevation or credibility</t>
        </is>
      </c>
      <c r="I63" s="34" t="inlineStr">
        <is>
          <t>Poor ICP fit</t>
        </is>
      </c>
      <c r="J63" s="35" t="inlineStr">
        <is>
          <t>Win/loss ratios of 1/3 or more</t>
        </is>
      </c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3.5" customHeight="1">
      <c r="A64" s="8" t="n"/>
      <c r="B64" s="59" t="inlineStr">
        <is>
          <t>Company Retains Its Customers</t>
        </is>
      </c>
      <c r="C64" s="39" t="n">
        <v>5</v>
      </c>
      <c r="D64" s="60" t="n">
        <v>0.1</v>
      </c>
      <c r="E64" s="39" t="n"/>
      <c r="F64" s="34" t="n"/>
      <c r="G64" s="8" t="inlineStr">
        <is>
          <t>100% gross / 110% net</t>
        </is>
      </c>
      <c r="H64" s="8" t="inlineStr">
        <is>
          <t>95% gross (industry)</t>
        </is>
      </c>
      <c r="I64" s="34" t="inlineStr">
        <is>
          <t>Usage decreases through time or Churn risk</t>
        </is>
      </c>
      <c r="J64" s="35" t="inlineStr">
        <is>
          <t>100% gross retention, 95% industry ret.</t>
        </is>
      </c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3.5" customHeight="1">
      <c r="A65" s="8" t="n"/>
      <c r="B65" s="59" t="inlineStr">
        <is>
          <t>Revenue Concentration</t>
        </is>
      </c>
      <c r="C65" s="39" t="n">
        <v>5</v>
      </c>
      <c r="D65" s="60" t="n">
        <v>0.1</v>
      </c>
      <c r="E65" s="39" t="n"/>
      <c r="F65" s="34" t="n"/>
      <c r="G65" s="8" t="inlineStr">
        <is>
          <t xml:space="preserve">Low customer concentration; diversified	</t>
        </is>
      </c>
      <c r="H65" s="8" t="inlineStr">
        <is>
          <t xml:space="preserve">1–2 customers = 20–30%	</t>
        </is>
      </c>
      <c r="I65" s="34" t="inlineStr">
        <is>
          <t>High concentration &gt;40%</t>
        </is>
      </c>
      <c r="J65" s="35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3.5" customHeight="1">
      <c r="A66" s="8" t="n"/>
      <c r="B66" s="61" t="inlineStr">
        <is>
          <t>Revenue Predictability (transformation opportunity for value creation)</t>
        </is>
      </c>
      <c r="C66" s="39" t="n">
        <v>5</v>
      </c>
      <c r="D66" s="60" t="n">
        <v>0.1</v>
      </c>
      <c r="E66" s="39" t="n"/>
      <c r="F66" s="34" t="n"/>
      <c r="G66" s="8" t="inlineStr">
        <is>
          <t>Partially recurring today, with clear opportunity to increase or convert to a fully recurring model</t>
        </is>
      </c>
      <c r="H66" s="8" t="inlineStr">
        <is>
          <t>Revenue is already largely recurring (e.g., 80–90% contracted or usage-based), limiting transformation upside</t>
        </is>
      </c>
      <c r="I66" s="34" t="inlineStr">
        <is>
          <t>Fully non-recurring or lumpy project-based revenue; unclear or no path to predictability</t>
        </is>
      </c>
      <c r="J66" s="35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3.5" customHeight="1">
      <c r="A67" s="8" t="n"/>
      <c r="B67" s="59" t="inlineStr">
        <is>
          <t>Unit Economics are Attractive; Sizeable Co.</t>
        </is>
      </c>
      <c r="C67" s="39" t="n">
        <v>5</v>
      </c>
      <c r="D67" s="60" t="n">
        <v>0.1</v>
      </c>
      <c r="E67" s="39" t="n"/>
      <c r="F67" s="34" t="n"/>
      <c r="G67" s="8" t="inlineStr">
        <is>
          <t xml:space="preserve">High gross margins; &gt;$5M revenue	</t>
        </is>
      </c>
      <c r="H67" s="8" t="inlineStr">
        <is>
          <t xml:space="preserve">Moderate EBITDA / growing margins	</t>
        </is>
      </c>
      <c r="I67" s="34" t="inlineStr">
        <is>
          <t>Small business; low margins</t>
        </is>
      </c>
      <c r="J67" s="35" t="inlineStr">
        <is>
          <t>~80%/~55% recurring/non-rec gross margin</t>
        </is>
      </c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3.5" customHeight="1">
      <c r="A68" s="8" t="n"/>
      <c r="B68" s="59" t="inlineStr">
        <is>
          <t>Technology is Sound; Product is Scalable</t>
        </is>
      </c>
      <c r="C68" s="39" t="n">
        <v>5</v>
      </c>
      <c r="D68" s="60" t="n">
        <v>0.05</v>
      </c>
      <c r="E68" s="39" t="n"/>
      <c r="F68" s="34" t="n"/>
      <c r="G68" s="8" t="inlineStr">
        <is>
          <t xml:space="preserve">Cloud-native, scalable	</t>
        </is>
      </c>
      <c r="H68" s="8" t="inlineStr">
        <is>
          <t xml:space="preserve">Needs modernization	</t>
        </is>
      </c>
      <c r="I68" s="34" t="inlineStr">
        <is>
          <t>Legacy / unscalable</t>
        </is>
      </c>
      <c r="J68" s="35" t="inlineStr">
        <is>
          <t>Multi-tenant modern SaaS hosted in Azure</t>
        </is>
      </c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3.5" customHeight="1">
      <c r="A69" s="8" t="n"/>
      <c r="B69" s="59" t="inlineStr">
        <is>
          <t>Valuation</t>
        </is>
      </c>
      <c r="C69" s="39" t="n">
        <v>5</v>
      </c>
      <c r="D69" s="60" t="n">
        <v>0.05</v>
      </c>
      <c r="E69" s="39" t="n"/>
      <c r="F69" s="34" t="n"/>
      <c r="G69" s="8" t="inlineStr">
        <is>
          <t>Low absolute price (~$10M) or attractive multiple</t>
        </is>
      </c>
      <c r="H69" s="8" t="inlineStr">
        <is>
          <t>Reasonable (~3.5x Revenue)</t>
        </is>
      </c>
      <c r="I69" s="34" t="inlineStr">
        <is>
          <t>High Multiple (~6x ARR) / premium paid</t>
        </is>
      </c>
      <c r="J69" s="35" t="inlineStr">
        <is>
          <t>Paying relatively full price</t>
        </is>
      </c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3.5" customHeight="1">
      <c r="A70" s="8" t="n"/>
      <c r="B70" s="59" t="inlineStr">
        <is>
          <t>Strong team, seller willingness, &amp;  smooth transition path</t>
        </is>
      </c>
      <c r="C70" s="39" t="n">
        <v>5</v>
      </c>
      <c r="D70" s="60" t="n">
        <v>0.1</v>
      </c>
      <c r="E70" s="39" t="n"/>
      <c r="F70" s="8" t="n"/>
      <c r="G70" s="8" t="inlineStr">
        <is>
          <t xml:space="preserve">Seller ready; strong team	</t>
        </is>
      </c>
      <c r="H70" s="8" t="inlineStr">
        <is>
          <t xml:space="preserve">Needs transition or talent adds	</t>
        </is>
      </c>
      <c r="I70" s="8" t="inlineStr">
        <is>
          <t>Seller unwilling or team weak</t>
        </is>
      </c>
      <c r="J70" s="34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3.5" customHeight="1">
      <c r="A71" s="8" t="n"/>
      <c r="B71" s="53" t="inlineStr">
        <is>
          <t>Total Score</t>
        </is>
      </c>
      <c r="C71" s="62">
        <f>SUMPRODUCT(C61:C69,D61:D69)</f>
        <v/>
      </c>
      <c r="D71" s="54" t="n">
        <v>5</v>
      </c>
      <c r="E71" s="54" t="n"/>
      <c r="F71" s="55" t="n"/>
      <c r="G71" s="55" t="n"/>
      <c r="H71" s="55" t="n"/>
      <c r="I71" s="55" t="n"/>
      <c r="J71" s="56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3.5" customHeight="1">
      <c r="A72" s="8" t="n"/>
      <c r="B72" s="8" t="n"/>
      <c r="C72" s="8" t="n"/>
      <c r="D72" s="57">
        <f>SUM(D61:D70)</f>
        <v/>
      </c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3.5" customHeight="1">
      <c r="A73" s="8" t="n"/>
      <c r="B73" s="58" t="inlineStr">
        <is>
          <t>WW - Company Scorecard</t>
        </is>
      </c>
      <c r="C73" s="15" t="inlineStr">
        <is>
          <t>Score</t>
        </is>
      </c>
      <c r="D73" s="12" t="inlineStr">
        <is>
          <t>Weight</t>
        </is>
      </c>
      <c r="E73" s="13" t="inlineStr">
        <is>
          <t>Evaluation</t>
        </is>
      </c>
      <c r="F73" s="14" t="n"/>
      <c r="G73" s="63" t="inlineStr">
        <is>
          <t>Evaluation</t>
        </is>
      </c>
      <c r="H73" s="64" t="n"/>
      <c r="I73" s="65" t="n"/>
      <c r="J73" s="18" t="inlineStr">
        <is>
          <t>General Commentary / Supporting Data</t>
        </is>
      </c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3.5" customHeight="1">
      <c r="A74" s="8" t="n"/>
      <c r="B74" s="19" t="n"/>
      <c r="C74" s="20" t="inlineStr">
        <is>
          <t>(1-10)</t>
        </is>
      </c>
      <c r="D74" s="21" t="inlineStr">
        <is>
          <t>(%)</t>
        </is>
      </c>
      <c r="E74" s="22" t="inlineStr">
        <is>
          <t>+/-</t>
        </is>
      </c>
      <c r="F74" s="23" t="n"/>
      <c r="G74" s="22" t="inlineStr">
        <is>
          <t>+</t>
        </is>
      </c>
      <c r="H74" s="22" t="inlineStr">
        <is>
          <t>+/-</t>
        </is>
      </c>
      <c r="I74" s="24" t="inlineStr">
        <is>
          <t>-</t>
        </is>
      </c>
      <c r="J74" s="25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3.5" customHeight="1">
      <c r="A75" s="8" t="n"/>
      <c r="B75" s="59" t="inlineStr">
        <is>
          <t>Clear Value Proposition &amp; Mission Criticality</t>
        </is>
      </c>
      <c r="C75" s="39" t="n">
        <v>5</v>
      </c>
      <c r="D75" s="60" t="n">
        <v>0.15</v>
      </c>
      <c r="E75" s="39" t="n"/>
      <c r="F75" s="34" t="n"/>
      <c r="G75" s="8" t="inlineStr">
        <is>
          <t>Clear value proposition; mission critical for primary ICP (IDN, Hospitals, etc)</t>
        </is>
      </c>
      <c r="H75" s="8" t="inlineStr">
        <is>
          <t>Partial clarity; benefits visible but ROI not always evident across segments</t>
        </is>
      </c>
      <c r="I75" s="34" t="inlineStr">
        <is>
          <t>Unclear value or non-mission-critical; easily delayed or cut from budget</t>
        </is>
      </c>
      <c r="J75" s="35" t="inlineStr">
        <is>
          <t>Strong ROI, though not 100% mission critical</t>
        </is>
      </c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3.5" customHeight="1">
      <c r="A76" s="8" t="n"/>
      <c r="B76" s="59" t="inlineStr">
        <is>
          <t>Market is Hospitable (&amp; Sizeable) to Grow</t>
        </is>
      </c>
      <c r="C76" s="39" t="n">
        <v>5</v>
      </c>
      <c r="D76" s="60" t="n">
        <v>0.15</v>
      </c>
      <c r="E76" s="39" t="n"/>
      <c r="F76" s="34" t="n"/>
      <c r="G76" s="8" t="inlineStr">
        <is>
          <t>35% penetration; strong tailwinds</t>
        </is>
      </c>
      <c r="H76" s="8" t="inlineStr">
        <is>
          <t>Growing strong in smaller segments</t>
        </is>
      </c>
      <c r="I76" s="34" t="inlineStr">
        <is>
          <t>Slower growth in larger/target segments</t>
        </is>
      </c>
      <c r="J76" s="35" t="inlineStr">
        <is>
          <t>Underpenetrated market growing &gt;10%</t>
        </is>
      </c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3.5" customHeight="1">
      <c r="A77" s="8" t="n"/>
      <c r="B77" s="59" t="inlineStr">
        <is>
          <t>Company has a 'Right to Win' at Attractive ICP</t>
        </is>
      </c>
      <c r="C77" s="39" t="n">
        <v>5</v>
      </c>
      <c r="D77" s="60" t="n">
        <v>0.1</v>
      </c>
      <c r="E77" s="39" t="n"/>
      <c r="F77" s="34" t="n"/>
      <c r="G77" s="8" t="inlineStr">
        <is>
          <t>Wins frequently; strong fit</t>
        </is>
      </c>
      <c r="H77" s="8" t="inlineStr">
        <is>
          <t>Needs brand elevation or credibility</t>
        </is>
      </c>
      <c r="I77" s="34" t="inlineStr">
        <is>
          <t>Poor ICP fit</t>
        </is>
      </c>
      <c r="J77" s="35" t="inlineStr">
        <is>
          <t>Win/loss ratios of 1/3 or more</t>
        </is>
      </c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3.5" customHeight="1">
      <c r="A78" s="8" t="n"/>
      <c r="B78" s="59" t="inlineStr">
        <is>
          <t>Company Retains Its Customers</t>
        </is>
      </c>
      <c r="C78" s="39" t="n">
        <v>5</v>
      </c>
      <c r="D78" s="60" t="n">
        <v>0.1</v>
      </c>
      <c r="E78" s="39" t="n"/>
      <c r="F78" s="34" t="n"/>
      <c r="G78" s="8" t="inlineStr">
        <is>
          <t>100% gross / 110% net</t>
        </is>
      </c>
      <c r="H78" s="8" t="inlineStr">
        <is>
          <t>95% gross (industry)</t>
        </is>
      </c>
      <c r="I78" s="34" t="inlineStr">
        <is>
          <t>Usage decreases through time or Churn risk</t>
        </is>
      </c>
      <c r="J78" s="35" t="inlineStr">
        <is>
          <t>100% gross retention, 95% industry ret.</t>
        </is>
      </c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3.5" customHeight="1">
      <c r="A79" s="8" t="n"/>
      <c r="B79" s="59" t="inlineStr">
        <is>
          <t>Revenue Concentration</t>
        </is>
      </c>
      <c r="C79" s="39" t="n">
        <v>5</v>
      </c>
      <c r="D79" s="60" t="n">
        <v>0.1</v>
      </c>
      <c r="E79" s="39" t="n"/>
      <c r="F79" s="34" t="n"/>
      <c r="G79" s="8" t="inlineStr">
        <is>
          <t xml:space="preserve">Low customer concentration; diversified	</t>
        </is>
      </c>
      <c r="H79" s="8" t="inlineStr">
        <is>
          <t xml:space="preserve">1–2 customers = 20–30%	</t>
        </is>
      </c>
      <c r="I79" s="34" t="inlineStr">
        <is>
          <t>High concentration &gt;40%</t>
        </is>
      </c>
      <c r="J79" s="35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3.5" customHeight="1">
      <c r="A80" s="8" t="n"/>
      <c r="B80" s="61" t="inlineStr">
        <is>
          <t>Revenue Predictability (transformation opportunity for value creation)</t>
        </is>
      </c>
      <c r="C80" s="39" t="n">
        <v>5</v>
      </c>
      <c r="D80" s="60" t="n">
        <v>0.1</v>
      </c>
      <c r="E80" s="39" t="n"/>
      <c r="F80" s="34" t="n"/>
      <c r="G80" s="8" t="inlineStr">
        <is>
          <t>Partially recurring today, with clear opportunity to increase or convert to a fully recurring model</t>
        </is>
      </c>
      <c r="H80" s="8" t="inlineStr">
        <is>
          <t>Revenue is already largely recurring (e.g., 80–90% contracted or usage-based), limiting transformation upside</t>
        </is>
      </c>
      <c r="I80" s="34" t="inlineStr">
        <is>
          <t>Fully non-recurring or lumpy project-based revenue; unclear or no path to predictability</t>
        </is>
      </c>
      <c r="J80" s="35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3.5" customHeight="1">
      <c r="A81" s="8" t="n"/>
      <c r="B81" s="59" t="inlineStr">
        <is>
          <t>Unit Economics are Attractive; Sizeable Co.</t>
        </is>
      </c>
      <c r="C81" s="39" t="n">
        <v>5</v>
      </c>
      <c r="D81" s="60" t="n">
        <v>0.1</v>
      </c>
      <c r="E81" s="39" t="n"/>
      <c r="F81" s="34" t="n"/>
      <c r="G81" s="8" t="inlineStr">
        <is>
          <t xml:space="preserve">High gross margins; &gt;$5M revenue	</t>
        </is>
      </c>
      <c r="H81" s="8" t="inlineStr">
        <is>
          <t xml:space="preserve">Moderate EBITDA / growing margins	</t>
        </is>
      </c>
      <c r="I81" s="34" t="inlineStr">
        <is>
          <t>Small business; low margins</t>
        </is>
      </c>
      <c r="J81" s="35" t="inlineStr">
        <is>
          <t>~80%/~55% recurring/non-rec gross margin</t>
        </is>
      </c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3.5" customHeight="1">
      <c r="A82" s="8" t="n"/>
      <c r="B82" s="59" t="inlineStr">
        <is>
          <t>Technology is Sound; Product is Scalable</t>
        </is>
      </c>
      <c r="C82" s="39" t="n">
        <v>5</v>
      </c>
      <c r="D82" s="60" t="n">
        <v>0.05</v>
      </c>
      <c r="E82" s="39" t="n"/>
      <c r="F82" s="34" t="n"/>
      <c r="G82" s="8" t="inlineStr">
        <is>
          <t xml:space="preserve">Cloud-native, scalable	</t>
        </is>
      </c>
      <c r="H82" s="8" t="inlineStr">
        <is>
          <t xml:space="preserve">Needs modernization	</t>
        </is>
      </c>
      <c r="I82" s="34" t="inlineStr">
        <is>
          <t>Legacy / unscalable</t>
        </is>
      </c>
      <c r="J82" s="35" t="inlineStr">
        <is>
          <t>Multi-tenant modern SaaS hosted in Azure</t>
        </is>
      </c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3.5" customHeight="1">
      <c r="A83" s="8" t="n"/>
      <c r="B83" s="59" t="inlineStr">
        <is>
          <t>Valuation</t>
        </is>
      </c>
      <c r="C83" s="39" t="n">
        <v>5</v>
      </c>
      <c r="D83" s="60" t="n">
        <v>0.05</v>
      </c>
      <c r="E83" s="39" t="n"/>
      <c r="F83" s="34" t="n"/>
      <c r="G83" s="8" t="inlineStr">
        <is>
          <t>Low absolute price (~$10M) or attractive multiple</t>
        </is>
      </c>
      <c r="H83" s="8" t="inlineStr">
        <is>
          <t>Reasonable (~3.5x Revenue)</t>
        </is>
      </c>
      <c r="I83" s="34" t="inlineStr">
        <is>
          <t>High Multiple (~6x ARR) / premium paid</t>
        </is>
      </c>
      <c r="J83" s="35" t="inlineStr">
        <is>
          <t>Paying relatively full price</t>
        </is>
      </c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3.5" customHeight="1">
      <c r="A84" s="8" t="n"/>
      <c r="B84" s="59" t="inlineStr">
        <is>
          <t>Strong team, seller willingness, &amp;  smooth transition path</t>
        </is>
      </c>
      <c r="C84" s="39" t="n">
        <v>5</v>
      </c>
      <c r="D84" s="60" t="n">
        <v>0.1</v>
      </c>
      <c r="E84" s="39" t="n"/>
      <c r="F84" s="8" t="n"/>
      <c r="G84" s="8" t="inlineStr">
        <is>
          <t xml:space="preserve">Seller ready; strong team	</t>
        </is>
      </c>
      <c r="H84" s="8" t="inlineStr">
        <is>
          <t xml:space="preserve">Needs transition or talent adds	</t>
        </is>
      </c>
      <c r="I84" s="8" t="inlineStr">
        <is>
          <t>Seller unwilling or team weak</t>
        </is>
      </c>
      <c r="J84" s="34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3.5" customHeight="1">
      <c r="A85" s="8" t="n"/>
      <c r="B85" s="53" t="inlineStr">
        <is>
          <t>Total Score</t>
        </is>
      </c>
      <c r="C85" s="62">
        <f>SUMPRODUCT(C75:C83,D75:D83)</f>
        <v/>
      </c>
      <c r="D85" s="54" t="n">
        <v>5</v>
      </c>
      <c r="E85" s="54" t="n"/>
      <c r="F85" s="55" t="n"/>
      <c r="G85" s="55" t="n"/>
      <c r="H85" s="55" t="n"/>
      <c r="I85" s="55" t="n"/>
      <c r="J85" s="56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3.5" customHeight="1">
      <c r="A86" s="8" t="n"/>
      <c r="B86" s="8" t="n"/>
      <c r="C86" s="8" t="n"/>
      <c r="D86" s="57">
        <f>SUM(D75:D84)</f>
        <v/>
      </c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3.5" customHeight="1">
      <c r="A87" s="8" t="n"/>
      <c r="B87" s="58" t="inlineStr">
        <is>
          <t>WW - Company Scorecard</t>
        </is>
      </c>
      <c r="C87" s="15" t="inlineStr">
        <is>
          <t>Score</t>
        </is>
      </c>
      <c r="D87" s="12" t="inlineStr">
        <is>
          <t>Weight</t>
        </is>
      </c>
      <c r="E87" s="13" t="inlineStr">
        <is>
          <t>Evaluation</t>
        </is>
      </c>
      <c r="F87" s="14" t="n"/>
      <c r="G87" s="63" t="inlineStr">
        <is>
          <t>Evaluation</t>
        </is>
      </c>
      <c r="H87" s="64" t="n"/>
      <c r="I87" s="65" t="n"/>
      <c r="J87" s="18" t="inlineStr">
        <is>
          <t>General Commentary / Supporting Data</t>
        </is>
      </c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3.5" customHeight="1">
      <c r="A88" s="8" t="n"/>
      <c r="B88" s="19" t="n"/>
      <c r="C88" s="20" t="inlineStr">
        <is>
          <t>(1-10)</t>
        </is>
      </c>
      <c r="D88" s="21" t="inlineStr">
        <is>
          <t>(%)</t>
        </is>
      </c>
      <c r="E88" s="22" t="inlineStr">
        <is>
          <t>+/-</t>
        </is>
      </c>
      <c r="F88" s="23" t="n"/>
      <c r="G88" s="22" t="inlineStr">
        <is>
          <t>+</t>
        </is>
      </c>
      <c r="H88" s="22" t="inlineStr">
        <is>
          <t>+/-</t>
        </is>
      </c>
      <c r="I88" s="24" t="inlineStr">
        <is>
          <t>-</t>
        </is>
      </c>
      <c r="J88" s="25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3.5" customHeight="1">
      <c r="A89" s="8" t="n"/>
      <c r="B89" s="59" t="inlineStr">
        <is>
          <t>Clear Value Proposition &amp; Mission Criticality</t>
        </is>
      </c>
      <c r="C89" s="39" t="n">
        <v>5</v>
      </c>
      <c r="D89" s="60" t="n">
        <v>0.15</v>
      </c>
      <c r="E89" s="39" t="inlineStr">
        <is>
          <t>+/-</t>
        </is>
      </c>
      <c r="F89" s="34" t="n"/>
      <c r="G89" s="8" t="inlineStr">
        <is>
          <t>Clear value proposition; mission critical for primary ICP (IDN, Hospitals, etc)</t>
        </is>
      </c>
      <c r="H89" s="8" t="inlineStr">
        <is>
          <t>Partial clarity; benefits visible but ROI not always evident across segments</t>
        </is>
      </c>
      <c r="I89" s="34" t="inlineStr">
        <is>
          <t>Unclear value or non-mission-critical; easily delayed or cut from budget</t>
        </is>
      </c>
      <c r="J89" s="35" t="inlineStr">
        <is>
          <t>Strong ROI, though not 100% mission critical</t>
        </is>
      </c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3.5" customHeight="1">
      <c r="A90" s="8" t="n"/>
      <c r="B90" s="59" t="inlineStr">
        <is>
          <t>Market is Hospitable (&amp; Sizeable) to Grow</t>
        </is>
      </c>
      <c r="C90" s="39" t="n">
        <v>5</v>
      </c>
      <c r="D90" s="60" t="n">
        <v>0.15</v>
      </c>
      <c r="E90" s="39" t="inlineStr">
        <is>
          <t>+</t>
        </is>
      </c>
      <c r="F90" s="34" t="n"/>
      <c r="G90" s="8" t="inlineStr">
        <is>
          <t>35% penetration; strong tailwinds</t>
        </is>
      </c>
      <c r="H90" s="8" t="inlineStr">
        <is>
          <t>Growing strong in smaller segments</t>
        </is>
      </c>
      <c r="I90" s="34" t="inlineStr">
        <is>
          <t>Slower growth in larger/target segments</t>
        </is>
      </c>
      <c r="J90" s="35" t="inlineStr">
        <is>
          <t>Underpenetrated market growing &gt;10%</t>
        </is>
      </c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3.5" customHeight="1">
      <c r="A91" s="8" t="n"/>
      <c r="B91" s="59" t="inlineStr">
        <is>
          <t>Company has a 'Right to Win' at Attractive ICP</t>
        </is>
      </c>
      <c r="C91" s="39" t="n">
        <v>5</v>
      </c>
      <c r="D91" s="60" t="n">
        <v>0.1</v>
      </c>
      <c r="E91" s="39" t="inlineStr">
        <is>
          <t>+</t>
        </is>
      </c>
      <c r="F91" s="34" t="n"/>
      <c r="G91" s="8" t="inlineStr">
        <is>
          <t>Wins frequently; strong fit</t>
        </is>
      </c>
      <c r="H91" s="8" t="inlineStr">
        <is>
          <t>Needs brand elevation or credibility</t>
        </is>
      </c>
      <c r="I91" s="34" t="inlineStr">
        <is>
          <t>Poor ICP fit</t>
        </is>
      </c>
      <c r="J91" s="35" t="inlineStr">
        <is>
          <t>Win/loss ratios of 1/3 or more</t>
        </is>
      </c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3.5" customHeight="1">
      <c r="A92" s="8" t="n"/>
      <c r="B92" s="59" t="inlineStr">
        <is>
          <t>Company Retains Its Customers</t>
        </is>
      </c>
      <c r="C92" s="39" t="n">
        <v>5</v>
      </c>
      <c r="D92" s="60" t="n">
        <v>0.1</v>
      </c>
      <c r="E92" s="39" t="inlineStr">
        <is>
          <t>+</t>
        </is>
      </c>
      <c r="F92" s="34" t="n"/>
      <c r="G92" s="8" t="inlineStr">
        <is>
          <t>100% gross / 110% net</t>
        </is>
      </c>
      <c r="H92" s="8" t="inlineStr">
        <is>
          <t>95% gross (industry)</t>
        </is>
      </c>
      <c r="I92" s="34" t="inlineStr">
        <is>
          <t>Usage decreases through time or Churn risk</t>
        </is>
      </c>
      <c r="J92" s="35" t="inlineStr">
        <is>
          <t>100% gross retention, 95% industry ret.</t>
        </is>
      </c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3.5" customHeight="1">
      <c r="A93" s="8" t="n"/>
      <c r="B93" s="59" t="inlineStr">
        <is>
          <t>Revenue Concentration</t>
        </is>
      </c>
      <c r="C93" s="39" t="n">
        <v>5</v>
      </c>
      <c r="D93" s="60" t="n">
        <v>0.1</v>
      </c>
      <c r="E93" s="39" t="inlineStr">
        <is>
          <t>+</t>
        </is>
      </c>
      <c r="F93" s="34" t="n"/>
      <c r="G93" s="8" t="inlineStr">
        <is>
          <t xml:space="preserve">Low customer concentration; diversified	</t>
        </is>
      </c>
      <c r="H93" s="8" t="inlineStr">
        <is>
          <t xml:space="preserve">1–2 customers = 20–30%	</t>
        </is>
      </c>
      <c r="I93" s="34" t="inlineStr">
        <is>
          <t>High concentration &gt;40%</t>
        </is>
      </c>
      <c r="J93" s="35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3.5" customHeight="1">
      <c r="A94" s="8" t="n"/>
      <c r="B94" s="61" t="inlineStr">
        <is>
          <t>Revenue Predictability (transformation opportunity for value creation)</t>
        </is>
      </c>
      <c r="C94" s="39" t="n">
        <v>5</v>
      </c>
      <c r="D94" s="60" t="n">
        <v>0.1</v>
      </c>
      <c r="E94" s="39" t="n"/>
      <c r="F94" s="34" t="n"/>
      <c r="G94" s="8" t="inlineStr">
        <is>
          <t>Partially recurring today, with clear opportunity to increase or convert to a fully recurring model</t>
        </is>
      </c>
      <c r="H94" s="8" t="inlineStr">
        <is>
          <t>Revenue is already largely recurring (e.g., 80–90% contracted or usage-based), limiting transformation upside</t>
        </is>
      </c>
      <c r="I94" s="34" t="inlineStr">
        <is>
          <t>Fully non-recurring or lumpy project-based revenue; unclear or no path to predictability</t>
        </is>
      </c>
      <c r="J94" s="35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3.5" customHeight="1">
      <c r="A95" s="8" t="n"/>
      <c r="B95" s="59" t="inlineStr">
        <is>
          <t>Unit Economics are Attractive; Sizeable Co.</t>
        </is>
      </c>
      <c r="C95" s="39" t="n">
        <v>5</v>
      </c>
      <c r="D95" s="60" t="n">
        <v>0.1</v>
      </c>
      <c r="E95" s="39" t="inlineStr">
        <is>
          <t>+/-</t>
        </is>
      </c>
      <c r="F95" s="34" t="n"/>
      <c r="G95" s="8" t="inlineStr">
        <is>
          <t xml:space="preserve">High gross margins; &gt;$5M revenue	</t>
        </is>
      </c>
      <c r="H95" s="8" t="inlineStr">
        <is>
          <t xml:space="preserve">Moderate EBITDA / growing margins	</t>
        </is>
      </c>
      <c r="I95" s="34" t="inlineStr">
        <is>
          <t>Small business; low margins</t>
        </is>
      </c>
      <c r="J95" s="35" t="inlineStr">
        <is>
          <t>~80%/~55% recurring/non-rec gross margin</t>
        </is>
      </c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3.5" customHeight="1">
      <c r="A96" s="8" t="n"/>
      <c r="B96" s="59" t="inlineStr">
        <is>
          <t>Technology is Sound; Product is Scalable</t>
        </is>
      </c>
      <c r="C96" s="39" t="n">
        <v>5</v>
      </c>
      <c r="D96" s="60" t="n">
        <v>0.05</v>
      </c>
      <c r="E96" s="39" t="inlineStr">
        <is>
          <t>+</t>
        </is>
      </c>
      <c r="F96" s="34" t="n"/>
      <c r="G96" s="8" t="inlineStr">
        <is>
          <t xml:space="preserve">Cloud-native, scalable	</t>
        </is>
      </c>
      <c r="H96" s="8" t="inlineStr">
        <is>
          <t xml:space="preserve">Needs modernization	</t>
        </is>
      </c>
      <c r="I96" s="34" t="inlineStr">
        <is>
          <t>Legacy / unscalable</t>
        </is>
      </c>
      <c r="J96" s="35" t="inlineStr">
        <is>
          <t>Multi-tenant modern SaaS hosted in Azure</t>
        </is>
      </c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3.5" customHeight="1">
      <c r="A97" s="8" t="n"/>
      <c r="B97" s="59" t="inlineStr">
        <is>
          <t>Valuation</t>
        </is>
      </c>
      <c r="C97" s="39" t="n">
        <v>5</v>
      </c>
      <c r="D97" s="60" t="n">
        <v>0.05</v>
      </c>
      <c r="E97" s="39" t="inlineStr">
        <is>
          <t>+/-</t>
        </is>
      </c>
      <c r="F97" s="34" t="n"/>
      <c r="G97" s="8" t="inlineStr">
        <is>
          <t>Low absolute price (~$10M) or attractive multiple</t>
        </is>
      </c>
      <c r="H97" s="8" t="inlineStr">
        <is>
          <t>Reasonable (~3.5x Revenue)</t>
        </is>
      </c>
      <c r="I97" s="34" t="inlineStr">
        <is>
          <t>High Multiple (~6x ARR) / premium paid</t>
        </is>
      </c>
      <c r="J97" s="35" t="inlineStr">
        <is>
          <t>Paying relatively full price</t>
        </is>
      </c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3.5" customHeight="1">
      <c r="A98" s="8" t="n"/>
      <c r="B98" s="59" t="inlineStr">
        <is>
          <t>Strong team, seller willingness, &amp;  smooth transition path</t>
        </is>
      </c>
      <c r="C98" s="39" t="n">
        <v>5</v>
      </c>
      <c r="D98" s="60" t="n">
        <v>0.1</v>
      </c>
      <c r="E98" s="39" t="inlineStr">
        <is>
          <t>+/-</t>
        </is>
      </c>
      <c r="F98" s="8" t="n"/>
      <c r="G98" s="8" t="inlineStr">
        <is>
          <t xml:space="preserve">Seller ready; strong team	</t>
        </is>
      </c>
      <c r="H98" s="8" t="inlineStr">
        <is>
          <t xml:space="preserve">Needs transition or talent adds	</t>
        </is>
      </c>
      <c r="I98" s="8" t="inlineStr">
        <is>
          <t>Seller unwilling or team weak</t>
        </is>
      </c>
      <c r="J98" s="34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3.5" customHeight="1">
      <c r="A99" s="8" t="n"/>
      <c r="B99" s="53" t="inlineStr">
        <is>
          <t>Total Score</t>
        </is>
      </c>
      <c r="C99" s="62">
        <f>SUMPRODUCT(C89:C97,D89:D97)</f>
        <v/>
      </c>
      <c r="D99" s="54" t="inlineStr">
        <is>
          <t>Commentary: I would personally give WW a 8 to 8+</t>
        </is>
      </c>
      <c r="E99" s="54" t="n"/>
      <c r="F99" s="55" t="n"/>
      <c r="G99" s="55" t="n"/>
      <c r="H99" s="55" t="n"/>
      <c r="I99" s="55" t="n"/>
      <c r="J99" s="56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3.5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3.5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3.5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3.5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3.5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3.5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3.5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3.5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3.5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3.5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3.5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3.5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3.5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3.5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3.5" customHeight="1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3.5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3.5" customHeight="1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3.5" customHeight="1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3.5" customHeight="1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3.5" customHeight="1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3.5" customHeight="1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3.5" customHeight="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3.5" customHeight="1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3.5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3.5" customHeight="1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3.5" customHeight="1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3.5" customHeight="1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3.5" customHeight="1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3.5" customHeight="1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3.5" customHeight="1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3.5" customHeight="1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3.5" customHeight="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3.5" customHeight="1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3.5" customHeight="1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3.5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3.5" customHeight="1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3.5" customHeight="1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3.5" customHeight="1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3.5" customHeight="1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3.5" customHeight="1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3.5" customHeight="1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3.5" customHeight="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3.5" customHeight="1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3.5" customHeight="1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3.5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3.5" customHeight="1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3.5" customHeight="1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3.5" customHeight="1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3.5" customHeight="1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3.5" customHeight="1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3.5" customHeight="1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3.5" customHeight="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3.5" customHeight="1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3.5" customHeight="1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3.5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3.5" customHeight="1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3.5" customHeight="1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3.5" customHeight="1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3.5" customHeight="1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3.5" customHeight="1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3.5" customHeight="1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3.5" customHeight="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3.5" customHeight="1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3.5" customHeight="1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3.5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3.5" customHeight="1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3.5" customHeight="1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3.5" customHeight="1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3.5" customHeight="1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3.5" customHeight="1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3.5" customHeight="1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3.5" customHeight="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3.5" customHeight="1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3.5" customHeight="1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3.5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3.5" customHeight="1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3.5" customHeight="1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3.5" customHeight="1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3.5" customHeight="1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3.5" customHeight="1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3.5" customHeight="1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3.5" customHeight="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3.5" customHeight="1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3.5" customHeight="1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3.5" customHeight="1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3.5" customHeight="1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3.5" customHeight="1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3.5" customHeight="1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3.5" customHeight="1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3.5" customHeight="1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3.5" customHeight="1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3.5" customHeight="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3.5" customHeight="1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3.5" customHeight="1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3.5" customHeight="1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3.5" customHeight="1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3.5" customHeight="1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3.5" customHeight="1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3.5" customHeight="1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3.5" customHeight="1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3.5" customHeight="1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3.5" customHeight="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3.5" customHeight="1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3.5" customHeight="1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3.5" customHeight="1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3.5" customHeight="1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3.5" customHeight="1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3.5" customHeight="1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3.5" customHeight="1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3.5" customHeight="1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3.5" customHeight="1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3.5" customHeight="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3.5" customHeight="1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3.5" customHeight="1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3.5" customHeight="1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3.5" customHeight="1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3.5" customHeight="1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3.5" customHeight="1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3.5" customHeight="1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3.5" customHeight="1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3.5" customHeight="1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3.5" customHeight="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3.5" customHeight="1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3.5" customHeight="1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3.5" customHeight="1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3.5" customHeight="1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3.5" customHeight="1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3.5" customHeight="1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3.5" customHeight="1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3.5" customHeight="1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3.5" customHeight="1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3.5" customHeight="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3.5" customHeight="1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3.5" customHeight="1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3.5" customHeight="1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3.5" customHeight="1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3.5" customHeight="1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3.5" customHeight="1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3.5" customHeight="1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3.5" customHeight="1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3.5" customHeight="1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3.5" customHeight="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3.5" customHeight="1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3.5" customHeight="1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3.5" customHeight="1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3.5" customHeight="1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3.5" customHeight="1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3.5" customHeight="1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3.5" customHeight="1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3.5" customHeight="1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3.5" customHeight="1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3.5" customHeight="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3.5" customHeight="1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3.5" customHeight="1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3.5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3.5" customHeight="1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3.5" customHeight="1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3.5" customHeight="1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3.5" customHeight="1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3.5" customHeight="1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3.5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3.5" customHeight="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3.5" customHeight="1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3.5" customHeight="1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3.5" customHeight="1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3.5" customHeight="1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3.5" customHeight="1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3.5" customHeight="1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3.5" customHeight="1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3.5" customHeight="1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3.5" customHeight="1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3.5" customHeight="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3.5" customHeight="1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3.5" customHeight="1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3.5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3.5" customHeight="1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3.5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3.5" customHeight="1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3.5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3.5" customHeight="1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3.5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3.5" customHeight="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3.5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3.5" customHeight="1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3.5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3.5" customHeight="1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3.5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3.5" customHeight="1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3.5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3.5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3.5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3.5" customHeight="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3.5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3.5" customHeight="1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3.5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3.5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3.5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3.5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3.5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3.5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3.5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3.5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3.5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3.5" customHeight="1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3.5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3.5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3.5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3.5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3.5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3.5" customHeight="1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3.5" customHeight="1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3.5" customHeight="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3.5" customHeight="1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3.5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3.5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3.5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3.5" customHeight="1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3.5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3.5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3.5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3.5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3.5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3.5" customHeight="1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3.5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3.5" customHeight="1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3.5" customHeight="1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3.5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3.5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3.5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3.5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3.5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3.5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3.5" customHeight="1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3.5" customHeight="1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3.5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3.5" customHeight="1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3.5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3.5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3.5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3.5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3.5" customHeight="1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3.5" customHeight="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3.5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3.5" customHeight="1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3.5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3.5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3.5" customHeight="1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3.5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3.5" customHeight="1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3.5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3.5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3.5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3.5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3.5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3.5" customHeight="1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3.5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3.5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3.5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3.5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3.5" customHeight="1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3.5" customHeight="1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3.5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3.5" customHeight="1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3.5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3.5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3.5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3.5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3.5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3.5" customHeight="1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3.5" customHeight="1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3.5" customHeight="1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3.5" customHeight="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3.5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3.5" customHeight="1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3.5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3.5" customHeight="1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3.5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3.5" customHeight="1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3.5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3.5" customHeight="1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3.5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3.5" customHeight="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3.5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3.5" customHeight="1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3.5" customHeight="1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3.5" customHeight="1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3.5" customHeight="1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3.5" customHeight="1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3.5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3.5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3.5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3.5" customHeight="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3.5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3.5" customHeight="1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3.5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3.5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3.5" customHeight="1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3.5" customHeight="1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3.5" customHeight="1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3.5" customHeight="1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3.5" customHeight="1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3.5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3.5" customHeight="1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3.5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3.5" customHeight="1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3.5" customHeight="1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3.5" customHeight="1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3.5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3.5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3.5" customHeight="1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3.5" customHeight="1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3.5" customHeight="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3.5" customHeight="1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3.5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3.5" customHeight="1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3.5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3.5" customHeight="1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3.5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3.5" customHeight="1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3.5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3.5" customHeight="1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3.5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3.5" customHeight="1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3.5" customHeight="1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3.5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3.5" customHeight="1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3.5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3.5" customHeight="1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3.5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3.5" customHeight="1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3.5" customHeight="1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3.5" customHeight="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3.5" customHeight="1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3.5" customHeight="1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3.5" customHeight="1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3.5" customHeight="1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3.5" customHeight="1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3.5" customHeight="1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3.5" customHeight="1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3.5" customHeight="1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3.5" customHeight="1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3.5" customHeight="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3.5" customHeight="1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3.5" customHeight="1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3.5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3.5" customHeight="1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3.5" customHeight="1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3.5" customHeight="1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3.5" customHeight="1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3.5" customHeight="1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3.5" customHeight="1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3.5" customHeight="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3.5" customHeight="1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3.5" customHeight="1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3.5" customHeight="1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3.5" customHeight="1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3.5" customHeight="1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3.5" customHeight="1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3.5" customHeight="1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3.5" customHeight="1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3.5" customHeight="1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3.5" customHeight="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3.5" customHeight="1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3.5" customHeight="1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3.5" customHeight="1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3.5" customHeight="1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3.5" customHeight="1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3.5" customHeight="1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3.5" customHeight="1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3.5" customHeight="1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3.5" customHeight="1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3.5" customHeight="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3.5" customHeight="1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3.5" customHeight="1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3.5" customHeight="1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3.5" customHeight="1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3.5" customHeight="1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3.5" customHeight="1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3.5" customHeight="1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3.5" customHeight="1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3.5" customHeight="1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3.5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3.5" customHeight="1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3.5" customHeight="1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3.5" customHeight="1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3.5" customHeight="1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3.5" customHeight="1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3.5" customHeight="1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3.5" customHeight="1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3.5" customHeight="1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3.5" customHeight="1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3.5" customHeight="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3.5" customHeight="1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3.5" customHeight="1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3.5" customHeight="1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3.5" customHeight="1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3.5" customHeight="1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3.5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3.5" customHeight="1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3.5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3.5" customHeight="1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3.5" customHeight="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3.5" customHeight="1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3.5" customHeight="1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3.5" customHeight="1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3.5" customHeight="1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3.5" customHeight="1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3.5" customHeight="1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3.5" customHeight="1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3.5" customHeight="1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3.5" customHeight="1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3.5" customHeight="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3.5" customHeight="1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3.5" customHeight="1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3.5" customHeight="1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3.5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3.5" customHeight="1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3.5" customHeight="1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3.5" customHeight="1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3.5" customHeight="1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3.5" customHeight="1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3.5" customHeight="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3.5" customHeight="1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3.5" customHeight="1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3.5" customHeight="1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3.5" customHeight="1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3.5" customHeight="1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3.5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3.5" customHeight="1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3.5" customHeight="1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3.5" customHeight="1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3.5" customHeight="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3.5" customHeight="1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3.5" customHeight="1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3.5" customHeight="1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3.5" customHeight="1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3.5" customHeight="1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3.5" customHeight="1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3.5" customHeight="1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3.5" customHeight="1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3.5" customHeight="1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3.5" customHeight="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3.5" customHeight="1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3.5" customHeight="1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3.5" customHeight="1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3.5" customHeight="1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3.5" customHeight="1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3.5" customHeight="1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3.5" customHeight="1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3.5" customHeight="1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3.5" customHeight="1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3.5" customHeight="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3.5" customHeight="1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3.5" customHeight="1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3.5" customHeight="1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3.5" customHeight="1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3.5" customHeight="1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3.5" customHeight="1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3.5" customHeight="1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3.5" customHeight="1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3.5" customHeight="1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3.5" customHeight="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3.5" customHeight="1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3.5" customHeight="1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3.5" customHeight="1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3.5" customHeight="1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3.5" customHeight="1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3.5" customHeight="1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3.5" customHeight="1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3.5" customHeight="1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3.5" customHeight="1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3.5" customHeight="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3.5" customHeight="1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3.5" customHeight="1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3.5" customHeight="1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3.5" customHeight="1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3.5" customHeight="1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3.5" customHeight="1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3.5" customHeight="1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3.5" customHeight="1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3.5" customHeight="1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3.5" customHeight="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3.5" customHeight="1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3.5" customHeight="1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3.5" customHeight="1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3.5" customHeight="1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3.5" customHeight="1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3.5" customHeight="1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3.5" customHeight="1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3.5" customHeight="1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3.5" customHeight="1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3.5" customHeight="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3.5" customHeight="1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3.5" customHeight="1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3.5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3.5" customHeight="1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3.5" customHeight="1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3.5" customHeight="1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3.5" customHeight="1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3.5" customHeight="1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3.5" customHeight="1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3.5" customHeight="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3.5" customHeight="1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3.5" customHeight="1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3.5" customHeight="1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3.5" customHeight="1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3.5" customHeight="1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3.5" customHeight="1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3.5" customHeight="1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3.5" customHeight="1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3.5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3.5" customHeight="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3.5" customHeight="1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3.5" customHeight="1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3.5" customHeight="1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3.5" customHeight="1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3.5" customHeight="1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3.5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3.5" customHeight="1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3.5" customHeight="1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3.5" customHeight="1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3.5" customHeight="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3.5" customHeight="1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3.5" customHeight="1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3.5" customHeight="1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3.5" customHeight="1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3.5" customHeight="1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3.5" customHeight="1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3.5" customHeight="1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3.5" customHeight="1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3.5" customHeight="1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3.5" customHeight="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3.5" customHeight="1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3.5" customHeight="1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3.5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3.5" customHeight="1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3.5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3.5" customHeight="1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3.5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3.5" customHeight="1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3.5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3.5" customHeight="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3.5" customHeight="1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3.5" customHeight="1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3.5" customHeight="1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3.5" customHeight="1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3.5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3.5" customHeight="1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3.5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3.5" customHeight="1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3.5" customHeight="1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3.5" customHeight="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3.5" customHeight="1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3.5" customHeight="1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3.5" customHeight="1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3.5" customHeight="1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3.5" customHeight="1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3.5" customHeight="1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3.5" customHeight="1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3.5" customHeight="1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3.5" customHeight="1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3.5" customHeight="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3.5" customHeight="1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3.5" customHeight="1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3.5" customHeight="1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3.5" customHeight="1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3.5" customHeight="1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3.5" customHeight="1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3.5" customHeight="1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3.5" customHeight="1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3.5" customHeight="1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3.5" customHeight="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3.5" customHeight="1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3.5" customHeight="1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3.5" customHeight="1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3.5" customHeight="1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3.5" customHeight="1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3.5" customHeight="1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3.5" customHeight="1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3.5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3.5" customHeight="1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3.5" customHeight="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3.5" customHeight="1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3.5" customHeight="1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3.5" customHeight="1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3.5" customHeight="1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3.5" customHeight="1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3.5" customHeight="1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3.5" customHeight="1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3.5" customHeight="1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3.5" customHeight="1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3.5" customHeight="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3.5" customHeight="1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3.5" customHeight="1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3.5" customHeight="1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3.5" customHeight="1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3.5" customHeight="1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3.5" customHeight="1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3.5" customHeight="1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3.5" customHeight="1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3.5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3.5" customHeight="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3.5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3.5" customHeight="1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3.5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3.5" customHeight="1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3.5" customHeight="1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3.5" customHeight="1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3.5" customHeight="1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3.5" customHeight="1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3.5" customHeight="1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3.5" customHeight="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3.5" customHeight="1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3.5" customHeight="1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3.5" customHeight="1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3.5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3.5" customHeight="1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3.5" customHeight="1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3.5" customHeight="1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3.5" customHeight="1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3.5" customHeight="1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3.5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3.5" customHeight="1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3.5" customHeight="1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3.5" customHeight="1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3.5" customHeight="1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3.5" customHeight="1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3.5" customHeight="1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3.5" customHeight="1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3.5" customHeight="1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3.5" customHeight="1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3.5" customHeight="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3.5" customHeight="1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3.5" customHeight="1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3.5" customHeight="1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3.5" customHeight="1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3.5" customHeight="1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3.5" customHeight="1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3.5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3.5" customHeight="1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3.5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3.5" customHeight="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3.5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3.5" customHeight="1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3.5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3.5" customHeight="1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3.5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3.5" customHeight="1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3.5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3.5" customHeight="1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3.5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3.5" customHeight="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3.5" customHeight="1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3.5" customHeight="1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3.5" customHeight="1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3.5" customHeight="1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3.5" customHeight="1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3.5" customHeight="1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3.5" customHeight="1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3.5" customHeight="1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3.5" customHeight="1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3.5" customHeight="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3.5" customHeight="1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3.5" customHeight="1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3.5" customHeight="1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3.5" customHeight="1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3.5" customHeight="1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3.5" customHeight="1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3.5" customHeight="1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3.5" customHeight="1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3.5" customHeight="1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3.5" customHeight="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3.5" customHeight="1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3.5" customHeight="1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3.5" customHeight="1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3.5" customHeight="1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3.5" customHeight="1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3.5" customHeight="1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3.5" customHeight="1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3.5" customHeight="1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3.5" customHeight="1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3.5" customHeight="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3.5" customHeight="1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3.5" customHeight="1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3.5" customHeight="1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3.5" customHeight="1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3.5" customHeight="1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3.5" customHeight="1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3.5" customHeight="1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3.5" customHeight="1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3.5" customHeight="1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3.5" customHeight="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3.5" customHeight="1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3.5" customHeight="1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3.5" customHeight="1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3.5" customHeight="1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3.5" customHeight="1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3.5" customHeight="1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3.5" customHeight="1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3.5" customHeight="1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3.5" customHeight="1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3.5" customHeight="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3.5" customHeight="1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3.5" customHeight="1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3.5" customHeight="1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3.5" customHeight="1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3.5" customHeight="1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3.5" customHeight="1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3.5" customHeight="1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3.5" customHeight="1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3.5" customHeight="1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3.5" customHeight="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3.5" customHeight="1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3.5" customHeight="1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3.5" customHeight="1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3.5" customHeight="1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3.5" customHeight="1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3.5" customHeight="1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3.5" customHeight="1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3.5" customHeight="1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3.5" customHeight="1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3.5" customHeight="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3.5" customHeight="1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3.5" customHeight="1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3.5" customHeight="1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3.5" customHeight="1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3.5" customHeight="1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3.5" customHeight="1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3.5" customHeight="1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3.5" customHeight="1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3.5" customHeight="1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3.5" customHeight="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3.5" customHeight="1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3.5" customHeight="1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3.5" customHeight="1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3.5" customHeight="1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3.5" customHeight="1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3.5" customHeight="1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3.5" customHeight="1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3.5" customHeight="1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3.5" customHeight="1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3.5" customHeight="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3.5" customHeight="1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3.5" customHeight="1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3.5" customHeight="1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3.5" customHeight="1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3.5" customHeight="1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3.5" customHeight="1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3.5" customHeight="1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3.5" customHeight="1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3.5" customHeight="1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3.5" customHeight="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3.5" customHeight="1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3.5" customHeight="1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3.5" customHeight="1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3.5" customHeight="1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3.5" customHeight="1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3.5" customHeight="1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3.5" customHeight="1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3.5" customHeight="1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3.5" customHeight="1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3.5" customHeight="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3.5" customHeight="1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3.5" customHeight="1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3.5" customHeight="1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3.5" customHeight="1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3.5" customHeight="1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3.5" customHeight="1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3.5" customHeight="1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3.5" customHeight="1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3.5" customHeight="1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3.5" customHeight="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3.5" customHeight="1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3.5" customHeight="1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3.5" customHeight="1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3.5" customHeight="1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3.5" customHeight="1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3.5" customHeight="1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3.5" customHeight="1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3.5" customHeight="1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3.5" customHeight="1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3.5" customHeight="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3.5" customHeight="1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3.5" customHeight="1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3.5" customHeight="1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3.5" customHeight="1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3.5" customHeight="1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3.5" customHeight="1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3.5" customHeight="1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3.5" customHeight="1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3.5" customHeight="1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3.5" customHeight="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3.5" customHeight="1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3.5" customHeight="1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3.5" customHeight="1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3.5" customHeight="1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3.5" customHeight="1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3.5" customHeight="1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3.5" customHeight="1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3.5" customHeight="1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3.5" customHeight="1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3.5" customHeight="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3.5" customHeight="1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3.5" customHeight="1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3.5" customHeight="1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3.5" customHeight="1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3.5" customHeight="1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3.5" customHeight="1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3.5" customHeight="1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3.5" customHeight="1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3.5" customHeight="1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3.5" customHeight="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3.5" customHeight="1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3.5" customHeight="1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3.5" customHeight="1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3.5" customHeight="1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3.5" customHeight="1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3.5" customHeight="1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3.5" customHeight="1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3.5" customHeight="1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3.5" customHeight="1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3.5" customHeight="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3.5" customHeight="1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3.5" customHeight="1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3.5" customHeight="1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3.5" customHeight="1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3.5" customHeight="1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3.5" customHeight="1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3.5" customHeight="1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3.5" customHeight="1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3.5" customHeight="1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3.5" customHeight="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3.5" customHeight="1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3.5" customHeight="1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3.5" customHeight="1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3.5" customHeight="1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3.5" customHeight="1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3.5" customHeight="1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3.5" customHeight="1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3.5" customHeight="1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3.5" customHeight="1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3.5" customHeight="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3.5" customHeight="1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3.5" customHeight="1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3.5" customHeight="1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3.5" customHeight="1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3.5" customHeight="1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3.5" customHeight="1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3.5" customHeight="1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3.5" customHeight="1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3.5" customHeight="1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3.5" customHeight="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3.5" customHeight="1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3.5" customHeight="1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3.5" customHeight="1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3.5" customHeight="1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3.5" customHeight="1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3.5" customHeight="1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3.5" customHeight="1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3.5" customHeight="1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3.5" customHeight="1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3.5" customHeight="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3.5" customHeight="1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3.5" customHeight="1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3.5" customHeight="1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3.5" customHeight="1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3.5" customHeight="1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3.5" customHeight="1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3.5" customHeight="1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3.5" customHeight="1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3.5" customHeight="1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3.5" customHeight="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3.5" customHeight="1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3.5" customHeight="1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3.5" customHeight="1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3.5" customHeight="1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3.5" customHeight="1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3.5" customHeight="1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3.5" customHeight="1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3.5" customHeight="1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3.5" customHeight="1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3.5" customHeight="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3.5" customHeight="1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3.5" customHeight="1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3.5" customHeight="1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3.5" customHeight="1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3.5" customHeight="1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3.5" customHeight="1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3.5" customHeight="1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3.5" customHeight="1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3.5" customHeight="1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3.5" customHeight="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3.5" customHeight="1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3.5" customHeight="1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3.5" customHeight="1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3.5" customHeight="1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3.5" customHeight="1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3.5" customHeight="1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3.5" customHeight="1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3.5" customHeight="1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3.5" customHeight="1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Sch</dc:creator>
  <dcterms:created xmlns:dcterms="http://purl.org/dc/terms/" xmlns:xsi="http://www.w3.org/2001/XMLSchema-instance" xsi:type="dcterms:W3CDTF">2026-04-04T14:44:23Z</dcterms:created>
  <dcterms:modified xmlns:dcterms="http://purl.org/dc/terms/" xmlns:xsi="http://www.w3.org/2001/XMLSchema-instance" xsi:type="dcterms:W3CDTF">2026-04-04T15:45:07Z</dcterms:modified>
  <cp:lastModifiedBy>K Sch</cp:lastModifiedBy>
</cp:coreProperties>
</file>