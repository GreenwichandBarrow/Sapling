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40" yWindow="580" windowWidth="20500" windowHeight="14800" tabRatio="600" firstSheet="0" activeTab="2" autoFilterDateGrouping="1"/>
  </bookViews>
  <sheets>
    <sheet xmlns:r="http://schemas.openxmlformats.org/officeDocument/2006/relationships" name="Model Notes" sheetId="1" state="visible" r:id="rId1"/>
    <sheet xmlns:r="http://schemas.openxmlformats.org/officeDocument/2006/relationships" name="Model Template" sheetId="2" state="visible" r:id="rId2"/>
    <sheet xmlns:r="http://schemas.openxmlformats.org/officeDocument/2006/relationships" name="Growth" sheetId="3" state="visible" r:id="rId3"/>
    <sheet xmlns:r="http://schemas.openxmlformats.org/officeDocument/2006/relationships" name="Value" sheetId="4" state="visible" r:id="rId4"/>
    <sheet xmlns:r="http://schemas.openxmlformats.org/officeDocument/2006/relationships" name="Raw 2025 IS" sheetId="5" state="visible" r:id="rId5"/>
    <sheet xmlns:r="http://schemas.openxmlformats.org/officeDocument/2006/relationships" name="Raw 2024 CF" sheetId="6" state="visible" r:id="rId6"/>
    <sheet xmlns:r="http://schemas.openxmlformats.org/officeDocument/2006/relationships" name="Raw 2024 IS" sheetId="7" state="visible" r:id="rId7"/>
    <sheet xmlns:r="http://schemas.openxmlformats.org/officeDocument/2006/relationships" name="Raw 2025 CF" sheetId="8" state="visible" r:id="rId8"/>
  </sheets>
  <definedNames/>
  <calcPr calcId="191029" calcMode="auto" fullCalcOnLoad="1" forceFullCalc="1"/>
</workbook>
</file>

<file path=xl/styles.xml><?xml version="1.0" encoding="utf-8"?>
<styleSheet xmlns="http://schemas.openxmlformats.org/spreadsheetml/2006/main">
  <numFmts count="22">
    <numFmt numFmtId="164" formatCode="0.0\x;\(0.0\x\);&quot;–&quot;"/>
    <numFmt numFmtId="165" formatCode="##,##0;\(##,##0\)"/>
    <numFmt numFmtId="166" formatCode="&quot;$&quot;#,#00"/>
    <numFmt numFmtId="167" formatCode="0.0\x"/>
    <numFmt numFmtId="168" formatCode="0.0"/>
    <numFmt numFmtId="169" formatCode="##,##0.0;\(##,##0.0\)"/>
    <numFmt numFmtId="170" formatCode="&quot;$&quot;#,#00;\(&quot;$&quot;#,#00\)"/>
    <numFmt numFmtId="171" formatCode="\-"/>
    <numFmt numFmtId="172" formatCode="&quot;$&quot;##,##0;\(&quot;$&quot;##,##0\)"/>
    <numFmt numFmtId="173" formatCode="#%"/>
    <numFmt numFmtId="174" formatCode="&quot;$&quot;#,##0.00_);\(&quot;$&quot;#,##0.00\)"/>
    <numFmt numFmtId="175" formatCode="yyyy;@"/>
    <numFmt numFmtId="176" formatCode="mm\-dd\-yyyy;@"/>
    <numFmt numFmtId="177" formatCode="0.0000"/>
    <numFmt numFmtId="178" formatCode="#0%"/>
    <numFmt numFmtId="179" formatCode="#0.00%"/>
    <numFmt numFmtId="180" formatCode="#0.0000%"/>
    <numFmt numFmtId="181" formatCode="&quot;$&quot;#,##0.00"/>
    <numFmt numFmtId="182" formatCode="&quot;$&quot;#,##0.0_);\(&quot;$&quot;#,##0.0\)"/>
    <numFmt numFmtId="183" formatCode="#,##0;(#,##0);-"/>
    <numFmt numFmtId="184" formatCode="0%;-0%;0%"/>
    <numFmt numFmtId="185" formatCode="0.0%;-0.0%;0.0%"/>
  </numFmts>
  <fonts count="30">
    <font>
      <name val="Aptos Narrow"/>
      <family val="2"/>
      <color theme="1"/>
      <sz val="11"/>
      <scheme val="minor"/>
    </font>
    <font>
      <name val="Aptos Narrow"/>
      <family val="2"/>
      <color theme="1"/>
      <sz val="11"/>
      <scheme val="minor"/>
    </font>
    <font>
      <name val="Arial"/>
      <family val="2"/>
      <color theme="0"/>
      <sz val="20"/>
    </font>
    <font>
      <name val="Arial"/>
      <family val="2"/>
      <color theme="1"/>
      <sz val="8"/>
    </font>
    <font>
      <name val="Arial"/>
      <family val="2"/>
      <color theme="0"/>
      <sz val="8"/>
    </font>
    <font>
      <name val="Arial"/>
      <family val="2"/>
      <i val="1"/>
      <color theme="1"/>
      <sz val="8"/>
    </font>
    <font>
      <name val="Arial"/>
      <family val="2"/>
      <color theme="1"/>
      <sz val="8"/>
      <u val="single"/>
    </font>
    <font>
      <name val="Arial"/>
      <family val="2"/>
      <color rgb="FF0000FF"/>
      <sz val="8"/>
    </font>
    <font>
      <name val="Arial"/>
      <family val="2"/>
      <sz val="8"/>
    </font>
    <font>
      <name val="Arial"/>
      <family val="2"/>
      <b val="1"/>
      <color theme="0"/>
      <sz val="8"/>
    </font>
    <font>
      <name val="Arial"/>
      <family val="2"/>
      <b val="1"/>
      <color theme="1"/>
      <sz val="8"/>
      <u val="single"/>
    </font>
    <font>
      <name val="Arial"/>
      <family val="2"/>
      <i val="1"/>
      <color rgb="FF0000FF"/>
      <sz val="8"/>
    </font>
    <font>
      <name val="Arial"/>
      <family val="2"/>
      <color rgb="FF000000"/>
      <sz val="8"/>
    </font>
    <font>
      <name val="Arial"/>
      <family val="2"/>
      <color theme="2"/>
      <sz val="8"/>
    </font>
    <font>
      <name val="Arial"/>
      <family val="2"/>
      <color rgb="FFFF0000"/>
      <sz val="8"/>
    </font>
    <font>
      <name val="Arial"/>
      <family val="2"/>
      <b val="1"/>
      <color rgb="FFFF0000"/>
      <sz val="8"/>
    </font>
    <font>
      <name val="Aptos Narrow"/>
      <family val="2"/>
      <color theme="10"/>
      <sz val="11"/>
      <u val="single"/>
      <scheme val="minor"/>
    </font>
    <font>
      <name val="Arial"/>
      <family val="2"/>
      <i val="1"/>
      <color theme="5"/>
      <sz val="8"/>
    </font>
    <font>
      <name val="Arial"/>
      <family val="2"/>
      <b val="1"/>
      <color theme="1"/>
      <sz val="8"/>
    </font>
    <font>
      <name val="Arial"/>
      <family val="2"/>
      <i val="1"/>
      <color rgb="FFFF0000"/>
      <sz val="8"/>
    </font>
    <font>
      <name val="Arial"/>
      <family val="2"/>
      <b val="1"/>
      <sz val="8"/>
      <u val="single"/>
    </font>
    <font>
      <name val="Arial"/>
      <family val="2"/>
      <i val="1"/>
      <sz val="8"/>
    </font>
    <font>
      <name val="Arial"/>
      <family val="2"/>
      <i val="1"/>
      <color theme="1" tint="0.3499862666707358"/>
      <sz val="8"/>
    </font>
    <font>
      <name val="Arial"/>
      <family val="2"/>
      <color theme="1" tint="0.3499862666707358"/>
      <sz val="8"/>
    </font>
    <font>
      <name val="Arial"/>
      <family val="2"/>
      <i val="1"/>
      <color rgb="FF0000FF"/>
      <sz val="8"/>
      <u val="single"/>
    </font>
    <font>
      <name val="Arial"/>
      <family val="2"/>
      <color rgb="FFFF8000"/>
      <sz val="8"/>
    </font>
    <font>
      <b val="1"/>
      <sz val="18"/>
    </font>
    <font>
      <name val="Calibri"/>
      <family val="2"/>
      <color theme="1"/>
      <sz val="11"/>
      <scheme val="minor"/>
    </font>
    <font>
      <b val="1"/>
      <color rgb="00FFFFFF"/>
    </font>
    <font>
      <b val="1"/>
    </font>
  </fonts>
  <fills count="10">
    <fill>
      <patternFill/>
    </fill>
    <fill>
      <patternFill patternType="gray125"/>
    </fill>
    <fill>
      <patternFill patternType="solid">
        <fgColor theme="4"/>
        <bgColor indexed="64"/>
      </patternFill>
    </fill>
    <fill>
      <patternFill patternType="solid">
        <fgColor rgb="FF002060"/>
        <bgColor indexed="64"/>
      </patternFill>
    </fill>
    <fill>
      <patternFill patternType="solid">
        <fgColor rgb="FFFFF2CC"/>
        <bgColor indexed="64"/>
      </patternFill>
    </fill>
    <fill>
      <patternFill patternType="solid">
        <fgColor rgb="FFC9DAF8"/>
        <bgColor indexed="64"/>
      </patternFill>
    </fill>
    <fill>
      <patternFill patternType="solid">
        <fgColor theme="1"/>
        <bgColor indexed="64"/>
      </patternFill>
    </fill>
    <fill>
      <patternFill patternType="solid">
        <fgColor theme="0"/>
        <bgColor indexed="64"/>
      </patternFill>
    </fill>
    <fill>
      <patternFill patternType="solid">
        <fgColor theme="9" tint="0.7999816888943144"/>
        <bgColor indexed="64"/>
      </patternFill>
    </fill>
    <fill>
      <patternFill patternType="solid">
        <fgColor rgb="00071426"/>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bottom style="thin">
        <color rgb="00000000"/>
      </bottom>
    </border>
    <border>
      <left/>
      <right/>
      <top/>
      <bottom style="hair">
        <color rgb="00D9D9D9"/>
      </bottom>
      <diagonal/>
    </border>
    <border>
      <top style="thin">
        <color rgb="00000000"/>
      </top>
      <bottom style="thin">
        <color rgb="00000000"/>
      </bottom>
    </border>
  </borders>
  <cellStyleXfs count="3">
    <xf numFmtId="0" fontId="1" fillId="0" borderId="0"/>
    <xf numFmtId="9" fontId="1" fillId="0" borderId="0"/>
    <xf numFmtId="0" fontId="16" fillId="0" borderId="0"/>
  </cellStyleXfs>
  <cellXfs count="267">
    <xf numFmtId="0" fontId="0" fillId="0" borderId="0" pivotButton="0" quotePrefix="0" xfId="0"/>
    <xf numFmtId="0" fontId="4" fillId="2" borderId="0" applyAlignment="1" pivotButton="0" quotePrefix="0" xfId="0">
      <alignment horizontal="center"/>
    </xf>
    <xf numFmtId="0" fontId="3" fillId="0" borderId="0" applyAlignment="1" pivotButton="0" quotePrefix="0" xfId="0">
      <alignment horizontal="center"/>
    </xf>
    <xf numFmtId="0" fontId="3" fillId="0" borderId="6" applyAlignment="1" pivotButton="0" quotePrefix="0" xfId="0">
      <alignment horizontal="left"/>
    </xf>
    <xf numFmtId="9" fontId="7" fillId="0" borderId="7" applyAlignment="1" pivotButton="0" quotePrefix="0" xfId="0">
      <alignment horizontal="right"/>
    </xf>
    <xf numFmtId="9" fontId="7" fillId="4" borderId="2" applyAlignment="1" pivotButton="0" quotePrefix="0" xfId="0">
      <alignment horizontal="center"/>
    </xf>
    <xf numFmtId="0" fontId="3" fillId="0" borderId="0" applyAlignment="1" pivotButton="0" quotePrefix="0" xfId="0">
      <alignment horizontal="right"/>
    </xf>
    <xf numFmtId="164" fontId="7" fillId="0" borderId="7" applyAlignment="1" pivotButton="0" quotePrefix="0" xfId="0">
      <alignment horizontal="right"/>
    </xf>
    <xf numFmtId="0" fontId="15" fillId="0" borderId="10" applyAlignment="1" pivotButton="0" quotePrefix="0" xfId="0">
      <alignment horizontal="center"/>
    </xf>
    <xf numFmtId="0" fontId="3" fillId="0" borderId="0" applyAlignment="1" pivotButton="0" quotePrefix="0" xfId="0">
      <alignment horizontal="left"/>
    </xf>
    <xf numFmtId="165" fontId="7" fillId="4" borderId="2" applyAlignment="1" pivotButton="0" quotePrefix="0" xfId="0">
      <alignment horizontal="right"/>
    </xf>
    <xf numFmtId="0" fontId="7" fillId="4" borderId="2" applyAlignment="1" pivotButton="0" quotePrefix="0" xfId="0">
      <alignment horizontal="right"/>
    </xf>
    <xf numFmtId="164" fontId="3" fillId="0" borderId="0" applyAlignment="1" pivotButton="0" quotePrefix="0" xfId="0">
      <alignment horizontal="right"/>
    </xf>
    <xf numFmtId="9" fontId="8" fillId="0" borderId="7" pivotButton="0" quotePrefix="0" xfId="1"/>
    <xf numFmtId="9" fontId="8" fillId="0" borderId="9" pivotButton="0" quotePrefix="0" xfId="1"/>
    <xf numFmtId="9" fontId="3" fillId="7" borderId="12" pivotButton="0" quotePrefix="0" xfId="1"/>
    <xf numFmtId="0" fontId="15" fillId="0" borderId="12" applyAlignment="1" pivotButton="0" quotePrefix="0" xfId="0">
      <alignment horizontal="center"/>
    </xf>
    <xf numFmtId="166" fontId="7" fillId="0" borderId="7" applyAlignment="1" pivotButton="0" quotePrefix="0" xfId="0">
      <alignment horizontal="right"/>
    </xf>
    <xf numFmtId="0" fontId="3" fillId="0" borderId="0" pivotButton="0" quotePrefix="0" xfId="0"/>
    <xf numFmtId="0" fontId="3" fillId="0" borderId="8"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3" fillId="0" borderId="7" applyAlignment="1" pivotButton="0" quotePrefix="0" xfId="0">
      <alignment horizontal="right"/>
    </xf>
    <xf numFmtId="164" fontId="3" fillId="0" borderId="7" pivotButton="0" quotePrefix="0" xfId="0"/>
    <xf numFmtId="0" fontId="5" fillId="0" borderId="0" applyAlignment="1" pivotButton="0" quotePrefix="0" xfId="0">
      <alignment horizontal="center"/>
    </xf>
    <xf numFmtId="165" fontId="3" fillId="0" borderId="0" pivotButton="0" quotePrefix="0" xfId="0"/>
    <xf numFmtId="0" fontId="18" fillId="5" borderId="1" applyAlignment="1" pivotButton="0" quotePrefix="0" xfId="0">
      <alignment horizontal="left"/>
    </xf>
    <xf numFmtId="0" fontId="2" fillId="2" borderId="0" pivotButton="0" quotePrefix="0" xfId="0"/>
    <xf numFmtId="0" fontId="4" fillId="2" borderId="0" pivotButton="0" quotePrefix="0" xfId="0"/>
    <xf numFmtId="0" fontId="15" fillId="0" borderId="11" pivotButton="0" quotePrefix="0" xfId="0"/>
    <xf numFmtId="0" fontId="9" fillId="3" borderId="3" pivotButton="0" quotePrefix="0" xfId="0"/>
    <xf numFmtId="0" fontId="4" fillId="3" borderId="4" pivotButton="0" quotePrefix="0" xfId="0"/>
    <xf numFmtId="0" fontId="4" fillId="3" borderId="5" pivotButton="0" quotePrefix="0" xfId="0"/>
    <xf numFmtId="0" fontId="3" fillId="0" borderId="6" pivotButton="0" quotePrefix="0" xfId="0"/>
    <xf numFmtId="166" fontId="8" fillId="0" borderId="0" pivotButton="0" quotePrefix="0" xfId="0"/>
    <xf numFmtId="167" fontId="8" fillId="0" borderId="0" pivotButton="0" quotePrefix="0" xfId="0"/>
    <xf numFmtId="0" fontId="8" fillId="0" borderId="0" pivotButton="0" quotePrefix="0" xfId="0"/>
    <xf numFmtId="0" fontId="8" fillId="0" borderId="6" pivotButton="0" quotePrefix="0" xfId="0"/>
    <xf numFmtId="0" fontId="3" fillId="0" borderId="8" pivotButton="0" quotePrefix="0" xfId="0"/>
    <xf numFmtId="3" fontId="8" fillId="0" borderId="1" pivotButton="0" quotePrefix="0" xfId="0"/>
    <xf numFmtId="167" fontId="8" fillId="0" borderId="1" pivotButton="0" quotePrefix="0" xfId="0"/>
    <xf numFmtId="165" fontId="8" fillId="0" borderId="0" pivotButton="0" quotePrefix="0" xfId="0"/>
    <xf numFmtId="168" fontId="8" fillId="0" borderId="0" pivotButton="0" quotePrefix="0" xfId="0"/>
    <xf numFmtId="3" fontId="8" fillId="0" borderId="0" pivotButton="0" quotePrefix="0" xfId="0"/>
    <xf numFmtId="169" fontId="8" fillId="0" borderId="0" pivotButton="0" quotePrefix="0" xfId="0"/>
    <xf numFmtId="0" fontId="8" fillId="0" borderId="7" pivotButton="0" quotePrefix="0" xfId="0"/>
    <xf numFmtId="0" fontId="3" fillId="0" borderId="7" pivotButton="0" quotePrefix="0" xfId="0"/>
    <xf numFmtId="170" fontId="7" fillId="0" borderId="7" pivotButton="0" quotePrefix="0" xfId="0"/>
    <xf numFmtId="0" fontId="3" fillId="7" borderId="10" pivotButton="0" quotePrefix="0" xfId="0"/>
    <xf numFmtId="166" fontId="3" fillId="7" borderId="11" pivotButton="0" quotePrefix="0" xfId="0"/>
    <xf numFmtId="167" fontId="3" fillId="7" borderId="11" pivotButton="0" quotePrefix="0" xfId="0"/>
    <xf numFmtId="0" fontId="3" fillId="7" borderId="0" pivotButton="0" quotePrefix="0" xfId="0"/>
    <xf numFmtId="0" fontId="3" fillId="0" borderId="1" pivotButton="0" quotePrefix="0" xfId="0"/>
    <xf numFmtId="0" fontId="9" fillId="6" borderId="0" pivotButton="0" quotePrefix="0" xfId="0"/>
    <xf numFmtId="0" fontId="4" fillId="6" borderId="0" pivotButton="0" quotePrefix="0" xfId="0"/>
    <xf numFmtId="0" fontId="3" fillId="6" borderId="0" pivotButton="0" quotePrefix="0" xfId="0"/>
    <xf numFmtId="166" fontId="7" fillId="5" borderId="0" pivotButton="0" quotePrefix="0" xfId="0"/>
    <xf numFmtId="166" fontId="3" fillId="0" borderId="0" pivotButton="0" quotePrefix="0" xfId="0"/>
    <xf numFmtId="0" fontId="5" fillId="5" borderId="0" pivotButton="0" quotePrefix="0" xfId="0"/>
    <xf numFmtId="9" fontId="5" fillId="5" borderId="0" pivotButton="0" quotePrefix="0" xfId="1"/>
    <xf numFmtId="9" fontId="11" fillId="0" borderId="0" pivotButton="0" quotePrefix="0" xfId="1"/>
    <xf numFmtId="9" fontId="7" fillId="0" borderId="0" pivotButton="0" quotePrefix="0" xfId="1"/>
    <xf numFmtId="0" fontId="3" fillId="5" borderId="0" pivotButton="0" quotePrefix="0" xfId="0"/>
    <xf numFmtId="166" fontId="12" fillId="0" borderId="0" pivotButton="0" quotePrefix="0" xfId="1"/>
    <xf numFmtId="165" fontId="8" fillId="0" borderId="0" pivotButton="0" quotePrefix="0" xfId="1"/>
    <xf numFmtId="0" fontId="3" fillId="0" borderId="4" pivotButton="0" quotePrefix="0" xfId="0"/>
    <xf numFmtId="9" fontId="5" fillId="5" borderId="4" pivotButton="0" quotePrefix="0" xfId="1"/>
    <xf numFmtId="166" fontId="8" fillId="0" borderId="4" pivotButton="0" quotePrefix="0" xfId="1"/>
    <xf numFmtId="170" fontId="8" fillId="0" borderId="0" pivotButton="0" quotePrefix="0" xfId="1"/>
    <xf numFmtId="0" fontId="3" fillId="0" borderId="0" applyAlignment="1" pivotButton="0" quotePrefix="1" xfId="0">
      <alignment horizontal="left"/>
    </xf>
    <xf numFmtId="0" fontId="3" fillId="5" borderId="4"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0" fontId="14" fillId="0" borderId="0" pivotButton="0" quotePrefix="0" xfId="0"/>
    <xf numFmtId="0" fontId="6" fillId="0" borderId="0" pivotButton="0" quotePrefix="0" xfId="0"/>
    <xf numFmtId="172" fontId="3" fillId="0" borderId="0" pivotButton="0" quotePrefix="0" xfId="0"/>
    <xf numFmtId="165" fontId="12" fillId="0" borderId="0" pivotButton="0" quotePrefix="0" xfId="0"/>
    <xf numFmtId="172" fontId="8" fillId="0" borderId="0" pivotButton="0" quotePrefix="0" xfId="0"/>
    <xf numFmtId="9" fontId="7" fillId="0" borderId="0" pivotButton="0" quotePrefix="0" xfId="0"/>
    <xf numFmtId="0" fontId="13" fillId="0" borderId="0" pivotButton="0" quotePrefix="0" xfId="0"/>
    <xf numFmtId="9" fontId="7" fillId="4" borderId="13" pivotButton="0" quotePrefix="0" xfId="0"/>
    <xf numFmtId="9" fontId="7" fillId="4" borderId="2" pivotButton="0" quotePrefix="0" xfId="0"/>
    <xf numFmtId="170" fontId="7" fillId="4" borderId="2" pivotButton="0" quotePrefix="0" xfId="0"/>
    <xf numFmtId="9" fontId="3" fillId="0" borderId="0" pivotButton="0" quotePrefix="0" xfId="1"/>
    <xf numFmtId="9" fontId="3" fillId="0" borderId="0" pivotButton="0" quotePrefix="0" xfId="0"/>
    <xf numFmtId="9" fontId="3" fillId="0" borderId="4" pivotButton="0" quotePrefix="0" xfId="0"/>
    <xf numFmtId="173" fontId="3" fillId="0" borderId="0" pivotButton="0" quotePrefix="0" xfId="0"/>
    <xf numFmtId="2" fontId="3" fillId="0" borderId="0" pivotButton="0" quotePrefix="0" xfId="0"/>
    <xf numFmtId="0" fontId="17" fillId="0" borderId="0" pivotButton="0" quotePrefix="0" xfId="0"/>
    <xf numFmtId="170" fontId="3" fillId="0" borderId="7" pivotButton="0" quotePrefix="0" xfId="0"/>
    <xf numFmtId="3" fontId="3" fillId="0" borderId="0" pivotButton="0" quotePrefix="0" xfId="0"/>
    <xf numFmtId="165" fontId="14" fillId="0" borderId="0" pivotButton="0" quotePrefix="0" xfId="0"/>
    <xf numFmtId="0" fontId="18" fillId="5" borderId="3" pivotButton="0" quotePrefix="0" xfId="0"/>
    <xf numFmtId="165" fontId="3" fillId="5" borderId="4" pivotButton="0" quotePrefix="0" xfId="0"/>
    <xf numFmtId="0" fontId="3" fillId="5" borderId="6" pivotButton="0" quotePrefix="0" xfId="0"/>
    <xf numFmtId="0" fontId="3" fillId="5" borderId="7" pivotButton="0" quotePrefix="0" xfId="0"/>
    <xf numFmtId="0" fontId="18" fillId="5" borderId="0" pivotButton="0" quotePrefix="0" xfId="0"/>
    <xf numFmtId="9" fontId="3" fillId="5" borderId="7" pivotButton="0" quotePrefix="0" xfId="0"/>
    <xf numFmtId="167" fontId="3" fillId="5" borderId="7" pivotButton="0" quotePrefix="0" xfId="0"/>
    <xf numFmtId="0" fontId="3" fillId="5" borderId="8" pivotButton="0" quotePrefix="0" xfId="0"/>
    <xf numFmtId="0" fontId="3" fillId="5" borderId="1" pivotButton="0" quotePrefix="0" xfId="0"/>
    <xf numFmtId="170" fontId="3" fillId="5" borderId="9" pivotButton="0" quotePrefix="0" xfId="0"/>
    <xf numFmtId="170" fontId="7" fillId="0" borderId="9" pivotButton="0" quotePrefix="0" xfId="0"/>
    <xf numFmtId="164" fontId="7" fillId="4" borderId="2" applyAlignment="1" pivotButton="0" quotePrefix="0" xfId="0">
      <alignment horizontal="right"/>
    </xf>
    <xf numFmtId="172" fontId="3" fillId="5" borderId="4" pivotButton="0" quotePrefix="0" xfId="0"/>
    <xf numFmtId="172" fontId="3" fillId="5" borderId="5" pivotButton="0" quotePrefix="0" xfId="0"/>
    <xf numFmtId="0" fontId="3" fillId="5" borderId="4" applyAlignment="1" pivotButton="0" quotePrefix="0" xfId="0">
      <alignment horizontal="center"/>
    </xf>
    <xf numFmtId="0" fontId="3" fillId="5" borderId="5" pivotButton="0" quotePrefix="0" xfId="0"/>
    <xf numFmtId="0" fontId="3" fillId="5" borderId="0" applyAlignment="1" pivotButton="0" quotePrefix="0" xfId="0">
      <alignment horizontal="center"/>
    </xf>
    <xf numFmtId="0" fontId="3" fillId="5" borderId="1" applyAlignment="1" pivotButton="0" quotePrefix="0" xfId="0">
      <alignment horizontal="center"/>
    </xf>
    <xf numFmtId="0" fontId="3" fillId="5" borderId="9" pivotButton="0" quotePrefix="0" xfId="0"/>
    <xf numFmtId="0" fontId="10" fillId="5" borderId="3" pivotButton="0" quotePrefix="0" xfId="0"/>
    <xf numFmtId="0" fontId="3" fillId="5" borderId="6" pivotButton="0" quotePrefix="1" xfId="0"/>
    <xf numFmtId="0" fontId="5" fillId="5" borderId="6" pivotButton="0" quotePrefix="1" xfId="0"/>
    <xf numFmtId="0" fontId="3" fillId="5" borderId="8" pivotButton="0" quotePrefix="1" xfId="0"/>
    <xf numFmtId="173" fontId="3" fillId="0" borderId="0" applyAlignment="1" pivotButton="0" quotePrefix="0" xfId="0">
      <alignment horizontal="center"/>
    </xf>
    <xf numFmtId="173" fontId="12" fillId="0" borderId="0" applyAlignment="1" pivotButton="0" quotePrefix="0" xfId="0">
      <alignment horizontal="center"/>
    </xf>
    <xf numFmtId="0" fontId="19" fillId="0" borderId="0" pivotButton="0" quotePrefix="0" xfId="0"/>
    <xf numFmtId="0" fontId="3" fillId="0" borderId="10" pivotButton="0" quotePrefix="0" xfId="0"/>
    <xf numFmtId="0" fontId="10" fillId="0" borderId="6" pivotButton="0" quotePrefix="0" xfId="0"/>
    <xf numFmtId="0" fontId="10" fillId="0" borderId="0" applyAlignment="1" pivotButton="0" quotePrefix="0" xfId="0">
      <alignment horizontal="right"/>
    </xf>
    <xf numFmtId="0" fontId="10" fillId="0" borderId="7" applyAlignment="1" pivotButton="0" quotePrefix="0" xfId="0">
      <alignment horizontal="right"/>
    </xf>
    <xf numFmtId="169" fontId="20" fillId="0" borderId="0" applyAlignment="1" pivotButton="0" quotePrefix="0" xfId="0">
      <alignment horizontal="right"/>
    </xf>
    <xf numFmtId="166" fontId="3" fillId="0" borderId="11" pivotButton="0" quotePrefix="0" xfId="0"/>
    <xf numFmtId="173" fontId="7" fillId="0" borderId="7" applyAlignment="1" pivotButton="0" quotePrefix="0" xfId="0">
      <alignment horizontal="right"/>
    </xf>
    <xf numFmtId="173" fontId="8" fillId="0" borderId="7" pivotButton="0" quotePrefix="0" xfId="0"/>
    <xf numFmtId="172" fontId="8" fillId="0" borderId="12" pivotButton="0" quotePrefix="0" xfId="0"/>
    <xf numFmtId="173" fontId="8" fillId="0" borderId="12" pivotButton="0" quotePrefix="0" xfId="0"/>
    <xf numFmtId="173" fontId="8" fillId="0" borderId="0" pivotButton="0" quotePrefix="0" xfId="0"/>
    <xf numFmtId="173" fontId="3" fillId="0" borderId="11" pivotButton="0" quotePrefix="0" xfId="0"/>
    <xf numFmtId="9" fontId="5" fillId="5" borderId="0" pivotButton="0" quotePrefix="0" xfId="1"/>
    <xf numFmtId="9" fontId="21" fillId="5" borderId="1" applyAlignment="1" pivotButton="0" quotePrefix="0" xfId="0">
      <alignment horizontal="center"/>
    </xf>
    <xf numFmtId="0" fontId="8" fillId="5" borderId="0" pivotButton="0" quotePrefix="0" xfId="0"/>
    <xf numFmtId="170" fontId="8" fillId="0" borderId="0" pivotButton="0" quotePrefix="0" xfId="0"/>
    <xf numFmtId="0" fontId="3" fillId="0" borderId="0" pivotButton="0" quotePrefix="1" xfId="0"/>
    <xf numFmtId="9" fontId="7" fillId="7" borderId="0" pivotButton="0" quotePrefix="0" xfId="0"/>
    <xf numFmtId="0" fontId="8" fillId="0" borderId="10" pivotButton="0" quotePrefix="0" xfId="0"/>
    <xf numFmtId="0" fontId="14" fillId="0" borderId="11" pivotButton="0" quotePrefix="0" xfId="0"/>
    <xf numFmtId="165" fontId="14" fillId="0" borderId="11" pivotButton="0" quotePrefix="0" xfId="0"/>
    <xf numFmtId="174" fontId="3" fillId="0" borderId="0" pivotButton="0" quotePrefix="0" xfId="0"/>
    <xf numFmtId="165" fontId="3" fillId="0" borderId="0" applyAlignment="1" pivotButton="0" quotePrefix="0" xfId="0">
      <alignment horizontal="center"/>
    </xf>
    <xf numFmtId="0" fontId="8" fillId="0" borderId="0" pivotButton="0" quotePrefix="1" xfId="0"/>
    <xf numFmtId="0" fontId="22" fillId="0" borderId="0" pivotButton="0" quotePrefix="0" xfId="0"/>
    <xf numFmtId="0" fontId="23" fillId="0" borderId="0" pivotButton="0" quotePrefix="0" xfId="0"/>
    <xf numFmtId="0" fontId="23" fillId="0" borderId="0" applyAlignment="1" pivotButton="0" quotePrefix="0" xfId="0">
      <alignment horizontal="center"/>
    </xf>
    <xf numFmtId="0" fontId="22" fillId="0" borderId="0" applyAlignment="1" pivotButton="0" quotePrefix="0" xfId="0">
      <alignment horizontal="left"/>
    </xf>
    <xf numFmtId="9" fontId="22" fillId="0" borderId="0" pivotButton="0" quotePrefix="0" xfId="1"/>
    <xf numFmtId="0" fontId="24" fillId="0" borderId="0" pivotButton="0" quotePrefix="0" xfId="2"/>
    <xf numFmtId="0" fontId="24" fillId="0" borderId="0" applyAlignment="1" pivotButton="0" quotePrefix="0" xfId="2">
      <alignment horizontal="left"/>
    </xf>
    <xf numFmtId="0" fontId="24" fillId="7" borderId="0" pivotButton="0" quotePrefix="0" xfId="2"/>
    <xf numFmtId="0" fontId="18" fillId="8" borderId="2" applyAlignment="1" pivotButton="0" quotePrefix="0" xfId="0">
      <alignment horizontal="center"/>
    </xf>
    <xf numFmtId="0" fontId="15" fillId="7" borderId="0" applyAlignment="1" pivotButton="0" quotePrefix="0" xfId="0">
      <alignment horizontal="left"/>
    </xf>
    <xf numFmtId="175" fontId="10" fillId="5" borderId="0" pivotButton="0" quotePrefix="0" xfId="0"/>
    <xf numFmtId="175" fontId="10" fillId="0" borderId="0" pivotButton="0" quotePrefix="0" xfId="0"/>
    <xf numFmtId="0" fontId="10" fillId="0" borderId="0" applyAlignment="1" pivotButton="0" quotePrefix="0" xfId="0">
      <alignment horizontal="center"/>
    </xf>
    <xf numFmtId="176" fontId="7" fillId="0" borderId="7" applyAlignment="1" pivotButton="0" quotePrefix="0" xfId="0">
      <alignment horizontal="right"/>
    </xf>
    <xf numFmtId="177" fontId="3" fillId="0" borderId="0" pivotButton="0" quotePrefix="0" xfId="0"/>
    <xf numFmtId="178" fontId="3" fillId="0" borderId="0" pivotButton="0" quotePrefix="0" xfId="0"/>
    <xf numFmtId="179" fontId="3" fillId="0" borderId="0" pivotButton="0" quotePrefix="0" xfId="0"/>
    <xf numFmtId="180" fontId="3" fillId="0" borderId="0" pivotButton="0" quotePrefix="0" xfId="0"/>
    <xf numFmtId="172" fontId="3" fillId="0" borderId="5" pivotButton="0" quotePrefix="0" xfId="0"/>
    <xf numFmtId="172" fontId="8" fillId="0" borderId="4" pivotButton="0" quotePrefix="0" xfId="1"/>
    <xf numFmtId="172" fontId="11" fillId="0" borderId="0" pivotButton="0" quotePrefix="0" xfId="1"/>
    <xf numFmtId="172" fontId="8" fillId="0" borderId="0" pivotButton="0" quotePrefix="0" xfId="1"/>
    <xf numFmtId="172" fontId="12" fillId="0" borderId="0" pivotButton="0" quotePrefix="0" xfId="1"/>
    <xf numFmtId="181" fontId="3" fillId="0" borderId="0" applyAlignment="1" pivotButton="0" quotePrefix="0" xfId="0">
      <alignment horizontal="center"/>
    </xf>
    <xf numFmtId="172" fontId="7" fillId="5" borderId="0" pivotButton="0" quotePrefix="0" xfId="0"/>
    <xf numFmtId="178" fontId="5" fillId="5" borderId="0" pivotButton="0" quotePrefix="0" xfId="0"/>
    <xf numFmtId="172" fontId="12" fillId="7" borderId="0" pivotButton="0" quotePrefix="0" xfId="0"/>
    <xf numFmtId="178" fontId="5" fillId="0" borderId="0" pivotButton="0" quotePrefix="0" xfId="0"/>
    <xf numFmtId="164" fontId="3" fillId="0" borderId="0" pivotButton="0" quotePrefix="0" xfId="0"/>
    <xf numFmtId="0" fontId="25" fillId="0" borderId="0" pivotButton="0" quotePrefix="0" xfId="0"/>
    <xf numFmtId="174" fontId="23" fillId="0" borderId="0" pivotButton="0" quotePrefix="0" xfId="0"/>
    <xf numFmtId="165" fontId="3" fillId="0" borderId="0" applyAlignment="1" pivotButton="0" quotePrefix="0" xfId="0">
      <alignment horizontal="right"/>
    </xf>
    <xf numFmtId="9" fontId="3" fillId="0" borderId="0" applyAlignment="1" pivotButton="0" quotePrefix="0" xfId="0">
      <alignment horizontal="right"/>
    </xf>
    <xf numFmtId="165" fontId="3" fillId="0" borderId="4" applyAlignment="1" pivotButton="0" quotePrefix="0" xfId="0">
      <alignment horizontal="right"/>
    </xf>
    <xf numFmtId="178" fontId="3" fillId="0" borderId="4" applyAlignment="1" pivotButton="0" quotePrefix="0" xfId="0">
      <alignment horizontal="right"/>
    </xf>
    <xf numFmtId="0" fontId="6" fillId="0" borderId="0" applyAlignment="1" pivotButton="0" quotePrefix="0" xfId="0">
      <alignment horizontal="right"/>
    </xf>
    <xf numFmtId="182" fontId="3" fillId="0" borderId="0" applyAlignment="1" pivotButton="0" quotePrefix="0" xfId="0">
      <alignment horizontal="center"/>
    </xf>
    <xf numFmtId="178" fontId="11" fillId="0" borderId="0" pivotButton="0" quotePrefix="0" xfId="0"/>
    <xf numFmtId="0" fontId="9" fillId="3" borderId="0" applyAlignment="1" pivotButton="0" quotePrefix="0" xfId="0">
      <alignment horizontal="center"/>
    </xf>
    <xf numFmtId="166" fontId="7" fillId="0" borderId="7" applyAlignment="1" pivotButton="0" quotePrefix="0" xfId="0">
      <alignment horizontal="right"/>
    </xf>
    <xf numFmtId="166" fontId="8" fillId="0" borderId="0" pivotButton="0" quotePrefix="0" xfId="0"/>
    <xf numFmtId="172" fontId="3" fillId="0" borderId="5" pivotButton="0" quotePrefix="0" xfId="0"/>
    <xf numFmtId="165" fontId="8" fillId="0" borderId="0" pivotButton="0" quotePrefix="0" xfId="0"/>
    <xf numFmtId="176" fontId="7" fillId="0" borderId="7" applyAlignment="1" pivotButton="0" quotePrefix="0" xfId="0">
      <alignment horizontal="right"/>
    </xf>
    <xf numFmtId="169" fontId="8" fillId="0" borderId="0" pivotButton="0" quotePrefix="0" xfId="0"/>
    <xf numFmtId="168" fontId="8" fillId="0" borderId="0" pivotButton="0" quotePrefix="0" xfId="0"/>
    <xf numFmtId="169" fontId="20" fillId="0" borderId="0" applyAlignment="1" pivotButton="0" quotePrefix="0" xfId="0">
      <alignment horizontal="right"/>
    </xf>
    <xf numFmtId="164" fontId="7" fillId="0" borderId="7" applyAlignment="1" pivotButton="0" quotePrefix="0" xfId="0">
      <alignment horizontal="right"/>
    </xf>
    <xf numFmtId="172" fontId="8" fillId="0" borderId="0" pivotButton="0" quotePrefix="0" xfId="0"/>
    <xf numFmtId="173" fontId="8" fillId="0" borderId="0" pivotButton="0" quotePrefix="0" xfId="0"/>
    <xf numFmtId="173" fontId="8" fillId="0" borderId="7" pivotButton="0" quotePrefix="0" xfId="0"/>
    <xf numFmtId="166" fontId="3" fillId="0" borderId="11" pivotButton="0" quotePrefix="0" xfId="0"/>
    <xf numFmtId="173" fontId="3" fillId="0" borderId="11" pivotButton="0" quotePrefix="0" xfId="0"/>
    <xf numFmtId="173" fontId="8" fillId="0" borderId="12" pivotButton="0" quotePrefix="0" xfId="0"/>
    <xf numFmtId="165" fontId="7" fillId="4" borderId="2" applyAlignment="1" pivotButton="0" quotePrefix="0" xfId="0">
      <alignment horizontal="right"/>
    </xf>
    <xf numFmtId="166" fontId="3" fillId="7" borderId="11" pivotButton="0" quotePrefix="0" xfId="0"/>
    <xf numFmtId="173" fontId="7" fillId="0" borderId="7" applyAlignment="1" pivotButton="0" quotePrefix="0" xfId="0">
      <alignment horizontal="right"/>
    </xf>
    <xf numFmtId="170" fontId="7" fillId="0" borderId="7" pivotButton="0" quotePrefix="0" xfId="0"/>
    <xf numFmtId="170" fontId="7" fillId="0" borderId="9" pivotButton="0" quotePrefix="0" xfId="0"/>
    <xf numFmtId="175" fontId="10" fillId="5" borderId="0" pivotButton="0" quotePrefix="0" xfId="0"/>
    <xf numFmtId="175" fontId="10" fillId="0" borderId="0" pivotButton="0" quotePrefix="0" xfId="0"/>
    <xf numFmtId="172" fontId="7" fillId="5" borderId="0" pivotButton="0" quotePrefix="0" xfId="0"/>
    <xf numFmtId="172" fontId="12" fillId="7" borderId="0" pivotButton="0" quotePrefix="0" xfId="0"/>
    <xf numFmtId="173" fontId="3" fillId="0" borderId="0" applyAlignment="1" pivotButton="0" quotePrefix="0" xfId="0">
      <alignment horizontal="center"/>
    </xf>
    <xf numFmtId="178" fontId="5" fillId="5" borderId="0" pivotButton="0" quotePrefix="0" xfId="0"/>
    <xf numFmtId="178" fontId="11" fillId="0" borderId="0" pivotButton="0" quotePrefix="0" xfId="0"/>
    <xf numFmtId="178" fontId="5" fillId="0" borderId="0" pivotButton="0" quotePrefix="0" xfId="0"/>
    <xf numFmtId="166" fontId="7" fillId="5" borderId="0" pivotButton="0" quotePrefix="0" xfId="0"/>
    <xf numFmtId="166" fontId="3" fillId="0" borderId="0" pivotButton="0" quotePrefix="0" xfId="0"/>
    <xf numFmtId="173" fontId="12" fillId="0" borderId="0" applyAlignment="1" pivotButton="0" quotePrefix="0" xfId="0">
      <alignment horizontal="center"/>
    </xf>
    <xf numFmtId="166" fontId="12" fillId="0" borderId="0" pivotButton="0" quotePrefix="0" xfId="1"/>
    <xf numFmtId="165" fontId="8" fillId="0" borderId="0" pivotButton="0" quotePrefix="0" xfId="1"/>
    <xf numFmtId="166" fontId="8" fillId="0" borderId="4" pivotButton="0" quotePrefix="0" xfId="1"/>
    <xf numFmtId="170" fontId="8" fillId="0" borderId="0" pivotButton="0" quotePrefix="0" xfId="1"/>
    <xf numFmtId="165" fontId="3" fillId="0" borderId="0"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170" fontId="8" fillId="0" borderId="0" pivotButton="0" quotePrefix="0" xfId="0"/>
    <xf numFmtId="165" fontId="14" fillId="0" borderId="0" pivotButton="0" quotePrefix="0" xfId="0"/>
    <xf numFmtId="172" fontId="3" fillId="0" borderId="0" pivotButton="0" quotePrefix="0" xfId="0"/>
    <xf numFmtId="165" fontId="12" fillId="0" borderId="0" pivotButton="0" quotePrefix="0" xfId="0"/>
    <xf numFmtId="164" fontId="3" fillId="0" borderId="0" pivotButton="0" quotePrefix="0" xfId="0"/>
    <xf numFmtId="164" fontId="3" fillId="0" borderId="0" applyAlignment="1" pivotButton="0" quotePrefix="0" xfId="0">
      <alignment horizontal="right"/>
    </xf>
    <xf numFmtId="170" fontId="7" fillId="4" borderId="2" pivotButton="0" quotePrefix="0" xfId="0"/>
    <xf numFmtId="164" fontId="7" fillId="4" borderId="2" applyAlignment="1" pivotButton="0" quotePrefix="0" xfId="0">
      <alignment horizontal="right"/>
    </xf>
    <xf numFmtId="165" fontId="3" fillId="0" borderId="0" applyAlignment="1" pivotButton="0" quotePrefix="0" xfId="0">
      <alignment horizontal="right"/>
    </xf>
    <xf numFmtId="173" fontId="3" fillId="0" borderId="0" pivotButton="0" quotePrefix="0" xfId="0"/>
    <xf numFmtId="165" fontId="3" fillId="0" borderId="4" applyAlignment="1" pivotButton="0" quotePrefix="0" xfId="0">
      <alignment horizontal="right"/>
    </xf>
    <xf numFmtId="178" fontId="3" fillId="0" borderId="4" applyAlignment="1" pivotButton="0" quotePrefix="0" xfId="0">
      <alignment horizontal="right"/>
    </xf>
    <xf numFmtId="180" fontId="3" fillId="0" borderId="0" pivotButton="0" quotePrefix="0" xfId="0"/>
    <xf numFmtId="174" fontId="3" fillId="0" borderId="0" pivotButton="0" quotePrefix="0" xfId="0"/>
    <xf numFmtId="174" fontId="23" fillId="0" borderId="0" pivotButton="0" quotePrefix="0" xfId="0"/>
    <xf numFmtId="182" fontId="3" fillId="0" borderId="0" applyAlignment="1" pivotButton="0" quotePrefix="0" xfId="0">
      <alignment horizontal="center"/>
    </xf>
    <xf numFmtId="178" fontId="3" fillId="0" borderId="0" pivotButton="0" quotePrefix="0" xfId="0"/>
    <xf numFmtId="170" fontId="3" fillId="0" borderId="7" pivotButton="0" quotePrefix="0" xfId="0"/>
    <xf numFmtId="164" fontId="3" fillId="0" borderId="7" pivotButton="0" quotePrefix="0" xfId="0"/>
    <xf numFmtId="179" fontId="3" fillId="0" borderId="0" pivotButton="0" quotePrefix="0" xfId="0"/>
    <xf numFmtId="165" fontId="14" fillId="0" borderId="11" pivotButton="0" quotePrefix="0" xfId="0"/>
    <xf numFmtId="172" fontId="8" fillId="0" borderId="12" pivotButton="0" quotePrefix="0" xfId="0"/>
    <xf numFmtId="165" fontId="3" fillId="5" borderId="4" pivotButton="0" quotePrefix="0" xfId="0"/>
    <xf numFmtId="172" fontId="3" fillId="5" borderId="4" pivotButton="0" quotePrefix="0" xfId="0"/>
    <xf numFmtId="172" fontId="3" fillId="5" borderId="5" pivotButton="0" quotePrefix="0" xfId="0"/>
    <xf numFmtId="170" fontId="3" fillId="5" borderId="9" pivotButton="0" quotePrefix="0" xfId="0"/>
    <xf numFmtId="181" fontId="3" fillId="0" borderId="0" applyAlignment="1" pivotButton="0" quotePrefix="0" xfId="0">
      <alignment horizontal="center"/>
    </xf>
    <xf numFmtId="172" fontId="12" fillId="0" borderId="0" pivotButton="0" quotePrefix="0" xfId="1"/>
    <xf numFmtId="172" fontId="8" fillId="0" borderId="0" pivotButton="0" quotePrefix="0" xfId="1"/>
    <xf numFmtId="172" fontId="8" fillId="0" borderId="4" pivotButton="0" quotePrefix="0" xfId="1"/>
    <xf numFmtId="172" fontId="11" fillId="0" borderId="0" pivotButton="0" quotePrefix="0" xfId="1"/>
    <xf numFmtId="165" fontId="3" fillId="0" borderId="0" applyAlignment="1" pivotButton="0" quotePrefix="0" xfId="0">
      <alignment horizontal="center"/>
    </xf>
    <xf numFmtId="177" fontId="3" fillId="0" borderId="0" pivotButton="0" quotePrefix="0" xfId="0"/>
    <xf numFmtId="0" fontId="26" fillId="0" borderId="0" applyAlignment="1" pivotButton="0" quotePrefix="0" xfId="0">
      <alignment horizontal="center"/>
    </xf>
    <xf numFmtId="0" fontId="27" fillId="0" borderId="0" pivotButton="0" quotePrefix="0" xfId="0"/>
    <xf numFmtId="0" fontId="28" fillId="9" borderId="14" applyAlignment="1" pivotButton="0" quotePrefix="0" xfId="0">
      <alignment horizontal="center" vertical="center" wrapText="1"/>
    </xf>
    <xf numFmtId="0" fontId="27" fillId="0" borderId="15" applyAlignment="1" pivotButton="0" quotePrefix="0" xfId="0">
      <alignment horizontal="left"/>
    </xf>
    <xf numFmtId="183" fontId="27" fillId="0" borderId="15" applyAlignment="1" pivotButton="0" quotePrefix="0" xfId="0">
      <alignment horizontal="right"/>
    </xf>
    <xf numFmtId="184" fontId="27" fillId="0" borderId="15" applyAlignment="1" pivotButton="0" quotePrefix="0" xfId="0">
      <alignment horizontal="right"/>
    </xf>
    <xf numFmtId="0" fontId="29" fillId="0" borderId="16" applyAlignment="1" pivotButton="0" quotePrefix="0" xfId="0">
      <alignment horizontal="left"/>
    </xf>
    <xf numFmtId="183" fontId="29" fillId="0" borderId="16" applyAlignment="1" pivotButton="0" quotePrefix="0" xfId="0">
      <alignment horizontal="right"/>
    </xf>
    <xf numFmtId="184" fontId="29" fillId="0" borderId="16" applyAlignment="1" pivotButton="0" quotePrefix="0" xfId="0">
      <alignment horizontal="right"/>
    </xf>
    <xf numFmtId="185" fontId="27" fillId="0" borderId="15" applyAlignment="1" pivotButton="0" quotePrefix="0" xfId="0">
      <alignment horizontal="right"/>
    </xf>
    <xf numFmtId="49" fontId="27" fillId="0" borderId="15" applyAlignment="1" pivotButton="0" quotePrefix="0" xfId="0">
      <alignment horizontal="right"/>
    </xf>
  </cellXfs>
  <cellStyles count="3">
    <cellStyle name="Normal" xfId="0" builtinId="0"/>
    <cellStyle name="Percent" xfId="1" builtinId="5"/>
    <cellStyle name="Hyperlink" xfId="2" builtinId="8"/>
  </cellStyles>
  <dxfs count="6">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3.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4.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110" customWidth="1" min="2" max="2"/>
    <col width="18" customWidth="1" min="3" max="3"/>
    <col width="80" customWidth="1" min="4" max="4"/>
  </cols>
  <sheetData>
    <row r="1">
      <c r="A1" t="inlineStr">
        <is>
          <t>Purpose</t>
        </is>
      </c>
      <c r="B1" t="inlineStr">
        <is>
          <t>Document the limited source-backed updates made from photo-transcribed financials.</t>
        </is>
      </c>
    </row>
    <row r="2">
      <c r="A2" t="inlineStr">
        <is>
          <t>Selected model tab</t>
        </is>
      </c>
      <c r="B2" t="inlineStr">
        <is>
          <t>Value</t>
        </is>
      </c>
    </row>
    <row r="3">
      <c r="A3" t="inlineStr">
        <is>
          <t>Reason</t>
        </is>
      </c>
      <c r="B3" t="inlineStr">
        <is>
          <t>Sidney Garber should be underwritten as an EBITDA / cash-flow deal, not an ARR growth-multiple deal. Growth tab left untouched.</t>
        </is>
      </c>
    </row>
    <row r="4">
      <c r="A4" t="inlineStr">
        <is>
          <t>Source basis</t>
        </is>
      </c>
      <c r="B4" t="inlineStr">
        <is>
          <t>Only values visible in the four uploaded financial-statement photos and transcribed workbook were used.</t>
        </is>
      </c>
    </row>
    <row r="5">
      <c r="A5" t="inlineStr">
        <is>
          <t>No invented data</t>
        </is>
      </c>
      <c r="B5" t="inlineStr">
        <is>
          <t>No missing model inputs were filled where source data was unavailable.</t>
        </is>
      </c>
    </row>
    <row r="6"/>
    <row r="7">
      <c r="A7" t="inlineStr">
        <is>
          <t>Cell</t>
        </is>
      </c>
      <c r="B7" t="inlineStr">
        <is>
          <t>Tab</t>
        </is>
      </c>
      <c r="C7" t="inlineStr">
        <is>
          <t>Value</t>
        </is>
      </c>
      <c r="D7" t="inlineStr">
        <is>
          <t>Source</t>
        </is>
      </c>
    </row>
    <row r="8">
      <c r="A8" t="inlineStr">
        <is>
          <t>C37</t>
        </is>
      </c>
      <c r="B8" t="inlineStr">
        <is>
          <t>Value</t>
        </is>
      </c>
      <c r="C8" t="n">
        <v>12300</v>
      </c>
      <c r="D8" t="inlineStr">
        <is>
          <t>2024 Income Statement: 2023 Actual Core Sales</t>
        </is>
      </c>
    </row>
    <row r="9">
      <c r="A9" t="inlineStr">
        <is>
          <t>D37</t>
        </is>
      </c>
      <c r="B9" t="inlineStr">
        <is>
          <t>Value</t>
        </is>
      </c>
      <c r="C9" t="n">
        <v>18117</v>
      </c>
      <c r="D9" t="inlineStr">
        <is>
          <t>2024/2025 Income Statement: 2024 Actual Core Sales</t>
        </is>
      </c>
    </row>
    <row r="10">
      <c r="A10" t="inlineStr">
        <is>
          <t>E37</t>
        </is>
      </c>
      <c r="B10" t="inlineStr">
        <is>
          <t>Value</t>
        </is>
      </c>
      <c r="C10" t="n">
        <v>18575</v>
      </c>
      <c r="D10" t="inlineStr">
        <is>
          <t>2025 Income Statement: 2025 Actual Core Sales</t>
        </is>
      </c>
    </row>
    <row r="11">
      <c r="A11" t="inlineStr">
        <is>
          <t>C40</t>
        </is>
      </c>
      <c r="B11" t="inlineStr">
        <is>
          <t>Value</t>
        </is>
      </c>
      <c r="C11" t="n">
        <v>1190</v>
      </c>
      <c r="D11" t="inlineStr">
        <is>
          <t>2024 Income Statement / 2024 Cash Flow: 2023 Actual EBITDA</t>
        </is>
      </c>
    </row>
    <row r="12">
      <c r="A12" t="inlineStr">
        <is>
          <t>D40</t>
        </is>
      </c>
      <c r="B12" t="inlineStr">
        <is>
          <t>Value</t>
        </is>
      </c>
      <c r="C12" t="n">
        <v>3224</v>
      </c>
      <c r="D12" t="inlineStr">
        <is>
          <t>2024 Income Statement / 2025 Cash Flow: 2024 Actual EBITDA</t>
        </is>
      </c>
    </row>
    <row r="13">
      <c r="A13" t="inlineStr">
        <is>
          <t>E40</t>
        </is>
      </c>
      <c r="B13" t="inlineStr">
        <is>
          <t>Value</t>
        </is>
      </c>
      <c r="C13" t="n">
        <v>3363</v>
      </c>
      <c r="D13" t="inlineStr">
        <is>
          <t>2025 Income Statement / 2025 Cash Flow: 2025 Actual EBITDA</t>
        </is>
      </c>
    </row>
    <row r="14"/>
    <row r="15">
      <c r="A15" t="inlineStr">
        <is>
          <t>Open model inputs not populated</t>
        </is>
      </c>
      <c r="B15" t="inlineStr">
        <is>
          <t>Purchase price / TEV, normalized EBITDA add-backs, debt terms, seller financing, rollover, earnout, working-capital peg, inventory treatment, tax treatment, owner compensation normalization, forecast growth, forecast margins, capex, NWC needs.</t>
        </is>
      </c>
    </row>
    <row r="16"/>
    <row r="17">
      <c r="A17" t="inlineStr">
        <is>
          <t>Updated assumption</t>
        </is>
      </c>
      <c r="B17" t="inlineStr">
        <is>
          <t>Charity / contributions held post-close</t>
        </is>
      </c>
    </row>
    <row r="18">
      <c r="A18" t="inlineStr">
        <is>
          <t>Rationale</t>
        </is>
      </c>
      <c r="B18" t="inlineStr">
        <is>
          <t>Owner-directed charitable giving is not an obligation. For offer modeling, assume contributions are paused while initial acquisition debt is paid down, then restarted later at a smaller legacy-compatible level.</t>
        </is>
      </c>
    </row>
    <row r="19">
      <c r="A19" t="inlineStr">
        <is>
          <t>Model impact</t>
        </is>
      </c>
      <c r="B19" t="inlineStr">
        <is>
          <t>Value tab row 40 changed from reported GAAP EBITDA to Normalized EBITDA by adding back visible charity/contribution amounts from source financials.</t>
        </is>
      </c>
    </row>
    <row r="20">
      <c r="A20" t="inlineStr">
        <is>
          <t>2023 add-back</t>
        </is>
      </c>
      <c r="B20" t="inlineStr">
        <is>
          <t>339</t>
        </is>
      </c>
    </row>
    <row r="21">
      <c r="A21" t="inlineStr">
        <is>
          <t>2024 add-back</t>
        </is>
      </c>
      <c r="B21" t="inlineStr">
        <is>
          <t>558</t>
        </is>
      </c>
    </row>
    <row r="22">
      <c r="A22" t="inlineStr">
        <is>
          <t>2025 add-back</t>
        </is>
      </c>
      <c r="B22" t="inlineStr">
        <is>
          <t>601</t>
        </is>
      </c>
    </row>
    <row r="23">
      <c r="A23" t="inlineStr">
        <is>
          <t>Open diligence</t>
        </is>
      </c>
      <c r="B23" t="inlineStr">
        <is>
          <t>Confirm legal/nonprofit commitments, donor expectations, tax treatment, and timing/amount of any restarted charitable program.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FD149"/>
  <sheetViews>
    <sheetView showGridLines="0" zoomScale="140" zoomScaleNormal="14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21"/>
    <col width="8.6640625" customWidth="1" style="18" min="22"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8500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2684</v>
      </c>
      <c r="D34" s="205" t="n">
        <v>3720</v>
      </c>
      <c r="E34" s="205" t="n">
        <v>4750</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0.2289473684210526</v>
      </c>
      <c r="G35" s="209" t="n">
        <v>0.2671306209850106</v>
      </c>
      <c r="H35" s="209" t="n">
        <v>0.2901563160118292</v>
      </c>
      <c r="I35" s="209" t="n">
        <v>0.307629838234331</v>
      </c>
      <c r="J35" s="209" t="n">
        <v>0.3118125632318618</v>
      </c>
      <c r="L35" s="156" t="n"/>
    </row>
    <row r="36">
      <c r="C36" s="203" t="n"/>
      <c r="D36" s="208" t="n"/>
      <c r="E36" s="208" t="n"/>
      <c r="F36" s="210" t="n"/>
      <c r="G36" s="210" t="n"/>
      <c r="H36" s="210" t="n"/>
      <c r="I36" s="210" t="n"/>
      <c r="J36" s="210" t="n"/>
      <c r="L36" s="156" t="n"/>
    </row>
    <row r="37">
      <c r="B37" s="18" t="inlineStr">
        <is>
          <t>GAAP Revenue</t>
        </is>
      </c>
      <c r="C37" s="211" t="n">
        <v>2123</v>
      </c>
      <c r="D37" s="211" t="n">
        <v>3202</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0.25</v>
      </c>
      <c r="G38" s="60" t="n">
        <v>0.25</v>
      </c>
      <c r="H38" s="60" t="n">
        <v>0.2799999999999998</v>
      </c>
      <c r="I38" s="60" t="n">
        <v>0.3</v>
      </c>
      <c r="J38" s="60" t="n">
        <v>0.3099999999999998</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465</v>
      </c>
      <c r="D40" s="211" t="n">
        <v>689</v>
      </c>
      <c r="E40" s="211" t="n">
        <v>1256</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0.22</v>
      </c>
      <c r="G41" s="60" t="n">
        <v>0.22</v>
      </c>
      <c r="H41" s="60" t="n">
        <v>0.25</v>
      </c>
      <c r="I41" s="60" t="n">
        <v>0.28</v>
      </c>
      <c r="J41" s="60" t="n">
        <v>0.29</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16">
        <f>F45+F47</f>
        <v/>
      </c>
      <c r="G48" s="216">
        <f>G45+G47</f>
        <v/>
      </c>
      <c r="H48" s="216">
        <f>H45+H47</f>
        <v/>
      </c>
      <c r="I48" s="216">
        <f>I45+I47</f>
        <v/>
      </c>
      <c r="J48" s="216">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17">
        <f>-$E$50*F48</f>
        <v/>
      </c>
      <c r="G50" s="217">
        <f>-$E$50*G48</f>
        <v/>
      </c>
      <c r="H50" s="217">
        <f>-$E$50*H48</f>
        <v/>
      </c>
      <c r="I50" s="217">
        <f>-$E$50*I48</f>
        <v/>
      </c>
      <c r="J50" s="217">
        <f>-$E$50*J48</f>
        <v/>
      </c>
      <c r="N50" s="21" t="n"/>
      <c r="O50" s="145" t="n"/>
      <c r="P50" s="75" t="n"/>
      <c r="Q50" s="75" t="n"/>
      <c r="R50" s="75" t="n"/>
      <c r="S50" s="75" t="n"/>
      <c r="T50" s="75" t="n"/>
      <c r="U50" s="75" t="n"/>
      <c r="XFD50" s="60" t="n"/>
    </row>
    <row r="51">
      <c r="B51" s="65" t="inlineStr">
        <is>
          <t>Net Income</t>
        </is>
      </c>
      <c r="C51" s="66" t="n"/>
      <c r="D51" s="66" t="n"/>
      <c r="E51" s="132" t="n"/>
      <c r="F51" s="216">
        <f>F48+F50</f>
        <v/>
      </c>
      <c r="G51" s="216">
        <f>G48+G50</f>
        <v/>
      </c>
      <c r="H51" s="216">
        <f>H48+H50</f>
        <v/>
      </c>
      <c r="I51" s="216">
        <f>I48+I50</f>
        <v/>
      </c>
      <c r="J51" s="216">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12">
        <f>F51</f>
        <v/>
      </c>
      <c r="G55" s="212">
        <f>G51</f>
        <v/>
      </c>
      <c r="H55" s="212">
        <f>H51</f>
        <v/>
      </c>
      <c r="I55" s="212">
        <f>I51</f>
        <v/>
      </c>
      <c r="J55" s="212">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N112" s="86" t="n"/>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L114" s="90" t="n"/>
      <c r="O114" s="145" t="n"/>
    </row>
    <row r="115">
      <c r="O115" s="145" t="n"/>
    </row>
    <row r="116">
      <c r="B116" s="76" t="inlineStr">
        <is>
          <t>Preferred Equity</t>
        </is>
      </c>
      <c r="M116" s="235" t="n"/>
      <c r="O116" s="145" t="n"/>
    </row>
    <row r="117">
      <c r="B117" s="18" t="inlineStr">
        <is>
          <t>Beginning Balance</t>
        </is>
      </c>
      <c r="F117" s="220">
        <f>C23+(H105*H104)</f>
        <v/>
      </c>
      <c r="G117" s="220">
        <f>F120</f>
        <v/>
      </c>
      <c r="H117" s="220">
        <f>G120</f>
        <v/>
      </c>
      <c r="I117" s="220">
        <f>H120</f>
        <v/>
      </c>
      <c r="J117" s="220">
        <f>I120</f>
        <v/>
      </c>
      <c r="M117" s="220" t="n"/>
      <c r="N117" s="236" t="n"/>
      <c r="O117" s="237" t="n"/>
    </row>
    <row r="118" ht="10" customHeight="1">
      <c r="B118" s="18" t="inlineStr">
        <is>
          <t>(+) Preferred Return</t>
        </is>
      </c>
      <c r="D118" s="83" t="n">
        <v>0.08</v>
      </c>
      <c r="F118" s="226">
        <f>F117*$D$118</f>
        <v/>
      </c>
      <c r="G118" s="218">
        <f>G117*$D$118</f>
        <v/>
      </c>
      <c r="H118" s="218">
        <f>H117*$D$118</f>
        <v/>
      </c>
      <c r="I118" s="218">
        <f>I117*$D$118</f>
        <v/>
      </c>
      <c r="J118" s="218">
        <f>J117*$D$118</f>
        <v/>
      </c>
      <c r="L118" s="238" t="n"/>
      <c r="M118" s="239"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3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H102 N23 N26 N132" showDropDown="0" showInputMessage="1" showErrorMessage="1" allowBlank="1" type="list">
      <formula1>"0,1"</formula1>
    </dataValidation>
    <dataValidation sqref="N16" showDropDown="0" showInputMessage="1" showErrorMessage="1" allowBlank="1" type="list">
      <formula1>"EBITDA, ARR"</formula1>
    </dataValidation>
    <dataValidation sqref="N24" showDropDown="0" showInputMessage="1" showErrorMessage="1" allowBlank="1" type="list">
      <formula1>"LLC, C-corp"</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3.xml><?xml version="1.0" encoding="utf-8"?>
<worksheet xmlns="http://schemas.openxmlformats.org/spreadsheetml/2006/main">
  <sheetPr>
    <outlinePr summaryBelow="1" summaryRight="1"/>
    <pageSetUpPr/>
  </sheetPr>
  <dimension ref="A1:XFD149"/>
  <sheetViews>
    <sheetView showGridLines="0" zoomScaleNormal="10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15000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ARR</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0.5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350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2138</v>
      </c>
      <c r="D34" s="205" t="n">
        <v>3392</v>
      </c>
      <c r="E34" s="205" t="n">
        <v>5078</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0.4185703032690036</v>
      </c>
      <c r="G35" s="209" t="n">
        <v>0.386909141389602</v>
      </c>
      <c r="H35" s="209" t="n">
        <v>0.354</v>
      </c>
      <c r="I35" s="209" t="n">
        <v>0.3395541079411197</v>
      </c>
      <c r="J35" s="209" t="n">
        <v>0.2879373541046848</v>
      </c>
      <c r="L35" s="156" t="n"/>
    </row>
    <row r="36">
      <c r="C36" s="203" t="n"/>
      <c r="D36" s="208" t="n"/>
      <c r="E36" s="208" t="n"/>
      <c r="F36" s="210" t="n"/>
      <c r="G36" s="210" t="n"/>
      <c r="H36" s="210" t="n"/>
      <c r="I36" s="210" t="n"/>
      <c r="J36" s="210" t="n"/>
      <c r="L36" s="156" t="n"/>
    </row>
    <row r="37">
      <c r="B37" s="18" t="inlineStr">
        <is>
          <t>GAAP Revenue</t>
        </is>
      </c>
      <c r="C37" s="211" t="n">
        <v>1657</v>
      </c>
      <c r="D37" s="211" t="n">
        <v>2765</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0.45</v>
      </c>
      <c r="G38" s="60" t="n">
        <v>0.4</v>
      </c>
      <c r="H38" s="60" t="n">
        <v>0.36</v>
      </c>
      <c r="I38" s="60" t="n">
        <v>0.34</v>
      </c>
      <c r="J38" s="60" t="n">
        <v>0.31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-34</v>
      </c>
      <c r="D40" s="211" t="n">
        <v>105</v>
      </c>
      <c r="E40" s="211" t="n">
        <v>405</v>
      </c>
      <c r="F40" s="212">
        <f>F41*F37</f>
        <v/>
      </c>
      <c r="G40" s="212">
        <f>G41*G37</f>
        <v/>
      </c>
      <c r="H40" s="212">
        <f>H41*H37</f>
        <v/>
      </c>
      <c r="I40" s="212">
        <f>I41*I37</f>
        <v/>
      </c>
      <c r="J40" s="212">
        <f>J41*J37</f>
        <v/>
      </c>
      <c r="L40" s="207">
        <f>IFERROR(_xlfn.RRI(2,C40,E40),"N/A")</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0.03</v>
      </c>
      <c r="G41" s="60" t="n">
        <v>0.05</v>
      </c>
      <c r="H41" s="60" t="n">
        <v>0.114</v>
      </c>
      <c r="I41" s="60" t="n">
        <v>0.12</v>
      </c>
      <c r="J41" s="60" t="n">
        <v>0.14</v>
      </c>
      <c r="L41" s="249" t="n"/>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50">
        <f>F40</f>
        <v/>
      </c>
      <c r="G43" s="250">
        <f>G40</f>
        <v/>
      </c>
      <c r="H43" s="250">
        <f>H40</f>
        <v/>
      </c>
      <c r="I43" s="250">
        <f>I40</f>
        <v/>
      </c>
      <c r="J43" s="250">
        <f>J40</f>
        <v/>
      </c>
      <c r="XFD43" s="60" t="n"/>
    </row>
    <row r="44">
      <c r="B44" s="18" t="inlineStr">
        <is>
          <t>Depreciation</t>
        </is>
      </c>
      <c r="C44" s="132" t="n"/>
      <c r="D44" s="132" t="n"/>
      <c r="E44" s="132" t="n"/>
      <c r="F44" s="251">
        <f>-($L$44*F37)</f>
        <v/>
      </c>
      <c r="G44" s="251">
        <f>-($L$44*G37)</f>
        <v/>
      </c>
      <c r="H44" s="251">
        <f>-($L$44*H37)</f>
        <v/>
      </c>
      <c r="I44" s="251">
        <f>-($L$44*I37)</f>
        <v/>
      </c>
      <c r="J44" s="251">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52">
        <f>SUM(F43:F44)</f>
        <v/>
      </c>
      <c r="G45" s="252">
        <f>SUM(G43:G44)</f>
        <v/>
      </c>
      <c r="H45" s="252">
        <f>SUM(H43:H44)</f>
        <v/>
      </c>
      <c r="I45" s="252">
        <f>SUM(I43:I44)</f>
        <v/>
      </c>
      <c r="J45" s="252">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253" t="n"/>
      <c r="G49" s="253" t="n"/>
      <c r="H49" s="253" t="n"/>
      <c r="I49" s="253" t="n"/>
      <c r="J49" s="253"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M51" s="212" t="n"/>
      <c r="N51" s="212"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0.14</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0.3333333333333334</v>
      </c>
      <c r="I82" s="80" t="n">
        <v>0.3333333333333334</v>
      </c>
      <c r="J82" s="80" t="n">
        <v>0.3333333333333334</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4.xml><?xml version="1.0" encoding="utf-8"?>
<worksheet xmlns="http://schemas.openxmlformats.org/spreadsheetml/2006/main">
  <sheetPr>
    <outlinePr summaryBelow="1" summaryRight="1"/>
    <pageSetUpPr/>
  </sheetPr>
  <dimension ref="A1:XFD149"/>
  <sheetViews>
    <sheetView showGridLines="0" tabSelected="1" zoomScale="120" zoomScaleNormal="12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E40*8</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3</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6000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0.05</v>
      </c>
      <c r="G38" s="60" t="n">
        <v>0.2</v>
      </c>
      <c r="H38" s="60" t="n">
        <v>0.2</v>
      </c>
      <c r="I38" s="60" t="n">
        <v>0.2</v>
      </c>
      <c r="J38" s="60" t="n">
        <v>0.2</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Normalized EBITDA</t>
        </is>
      </c>
      <c r="C40" s="211" t="n">
        <v>1529</v>
      </c>
      <c r="D40" s="211" t="n">
        <v>3782</v>
      </c>
      <c r="E40" s="211" t="n">
        <v>3964</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v>
      </c>
      <c r="G41" s="60" t="n">
        <v>0.25</v>
      </c>
      <c r="H41" s="60" t="n">
        <v>0.25</v>
      </c>
      <c r="I41" s="60" t="n">
        <v>0.3</v>
      </c>
      <c r="J41" s="60" t="n">
        <v>0.33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8</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3"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5.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2025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2025 Actual</t>
        </is>
      </c>
      <c r="C3" s="258" t="inlineStr">
        <is>
          <t>2025 Plan</t>
        </is>
      </c>
      <c r="D3" s="258" t="inlineStr">
        <is>
          <t>2025 Actual vs Plan Variance</t>
        </is>
      </c>
      <c r="E3" s="258" t="inlineStr">
        <is>
          <t>%</t>
        </is>
      </c>
      <c r="F3" s="258" t="inlineStr">
        <is>
          <t>2024 Actual</t>
        </is>
      </c>
      <c r="G3" s="258" t="inlineStr">
        <is>
          <t>2025 Actual vs 2024 Actual</t>
        </is>
      </c>
      <c r="H3" s="258" t="inlineStr">
        <is>
          <t>%</t>
        </is>
      </c>
    </row>
    <row r="4">
      <c r="A4" s="259" t="inlineStr">
        <is>
          <t>Core Sales</t>
        </is>
      </c>
      <c r="B4" s="260" t="n">
        <v>18575</v>
      </c>
      <c r="C4" s="260" t="n">
        <v>18500</v>
      </c>
      <c r="D4" s="260" t="n">
        <v>75</v>
      </c>
      <c r="E4" s="261" t="n">
        <v>0</v>
      </c>
      <c r="F4" s="260" t="n">
        <v>18117</v>
      </c>
      <c r="G4" s="260" t="n">
        <v>457</v>
      </c>
      <c r="H4" s="261" t="n">
        <v>0.03</v>
      </c>
    </row>
    <row r="5">
      <c r="A5" s="259" t="inlineStr">
        <is>
          <t>Net Other</t>
        </is>
      </c>
      <c r="B5" s="260" t="n">
        <v>-13</v>
      </c>
      <c r="C5" s="260" t="n">
        <v>76</v>
      </c>
      <c r="D5" s="260" t="n">
        <v>-88</v>
      </c>
      <c r="E5" s="261" t="n">
        <v>-1.17</v>
      </c>
      <c r="F5" s="260" t="n">
        <v>158</v>
      </c>
      <c r="G5" s="260" t="n">
        <v>-171</v>
      </c>
      <c r="H5" s="261" t="n">
        <v>-1.08</v>
      </c>
    </row>
    <row r="6">
      <c r="A6" s="262" t="inlineStr">
        <is>
          <t>Gross Margin</t>
        </is>
      </c>
      <c r="B6" s="263" t="n">
        <v>11647</v>
      </c>
      <c r="C6" s="263" t="n">
        <v>11592</v>
      </c>
      <c r="D6" s="263" t="n">
        <v>55</v>
      </c>
      <c r="E6" s="264" t="n">
        <v>0</v>
      </c>
      <c r="F6" s="263" t="n">
        <v>11401</v>
      </c>
      <c r="G6" s="263" t="n">
        <v>246</v>
      </c>
      <c r="H6" s="264" t="n">
        <v>0.02</v>
      </c>
    </row>
    <row r="7">
      <c r="A7" s="259" t="inlineStr">
        <is>
          <t>Core Magin %</t>
        </is>
      </c>
      <c r="B7" s="265" t="n">
        <v>0.628</v>
      </c>
      <c r="C7" s="265" t="n">
        <v>0.623</v>
      </c>
      <c r="D7" s="265" t="n">
        <v>0.005</v>
      </c>
      <c r="E7" s="261" t="n">
        <v>0.01</v>
      </c>
      <c r="F7" s="265" t="n">
        <v>0.621</v>
      </c>
      <c r="G7" s="265" t="n">
        <v>0.006999999999999999</v>
      </c>
      <c r="H7" s="261" t="n">
        <v>0.01</v>
      </c>
    </row>
    <row r="8">
      <c r="A8" s="259" t="inlineStr">
        <is>
          <t>Employee</t>
        </is>
      </c>
      <c r="B8" s="260" t="n">
        <v>3796</v>
      </c>
      <c r="C8" s="260" t="n">
        <v>3859</v>
      </c>
      <c r="D8" s="260" t="n">
        <v>-64</v>
      </c>
      <c r="E8" s="261" t="n">
        <v>-0.02</v>
      </c>
      <c r="F8" s="260" t="n">
        <v>3922</v>
      </c>
      <c r="G8" s="260" t="n">
        <v>-127</v>
      </c>
      <c r="H8" s="261" t="n">
        <v>-0.03</v>
      </c>
    </row>
    <row r="9">
      <c r="A9" s="259" t="inlineStr">
        <is>
          <t>Marketing</t>
        </is>
      </c>
      <c r="B9" s="260" t="n">
        <v>1551</v>
      </c>
      <c r="C9" s="260" t="n">
        <v>1800</v>
      </c>
      <c r="D9" s="260" t="n">
        <v>-249</v>
      </c>
      <c r="E9" s="261" t="n">
        <v>-0.14</v>
      </c>
      <c r="F9" s="260" t="n">
        <v>1376</v>
      </c>
      <c r="G9" s="260" t="n">
        <v>175</v>
      </c>
      <c r="H9" s="261" t="n">
        <v>0.13</v>
      </c>
    </row>
    <row r="10">
      <c r="A10" s="259" t="inlineStr">
        <is>
          <t>Admin</t>
        </is>
      </c>
      <c r="B10" s="260" t="n">
        <v>1731</v>
      </c>
      <c r="C10" s="260" t="n">
        <v>1753</v>
      </c>
      <c r="D10" s="260" t="n">
        <v>-22</v>
      </c>
      <c r="E10" s="261" t="n">
        <v>-0.01</v>
      </c>
      <c r="F10" s="260" t="n">
        <v>1688</v>
      </c>
      <c r="G10" s="260" t="n">
        <v>43</v>
      </c>
      <c r="H10" s="261" t="n">
        <v>0.03</v>
      </c>
    </row>
    <row r="11">
      <c r="A11" s="259" t="inlineStr">
        <is>
          <t>Consulting</t>
        </is>
      </c>
      <c r="B11" s="260" t="n">
        <v>494</v>
      </c>
      <c r="C11" s="260" t="n">
        <v>522</v>
      </c>
      <c r="D11" s="260" t="n">
        <v>-29</v>
      </c>
      <c r="E11" s="261" t="n">
        <v>-0.05</v>
      </c>
      <c r="F11" s="260" t="n">
        <v>575</v>
      </c>
      <c r="G11" s="260" t="n">
        <v>-81</v>
      </c>
      <c r="H11" s="261" t="n">
        <v>-0.14</v>
      </c>
    </row>
    <row r="12">
      <c r="A12" s="259" t="inlineStr">
        <is>
          <t>Fees</t>
        </is>
      </c>
      <c r="B12" s="260" t="n">
        <v>600</v>
      </c>
      <c r="C12" s="260" t="n">
        <v>476</v>
      </c>
      <c r="D12" s="260" t="n">
        <v>124</v>
      </c>
      <c r="E12" s="261" t="n">
        <v>0.26</v>
      </c>
      <c r="F12" s="260" t="n">
        <v>455</v>
      </c>
      <c r="G12" s="260" t="n">
        <v>146</v>
      </c>
      <c r="H12" s="261" t="n">
        <v>0.32</v>
      </c>
    </row>
    <row r="13">
      <c r="A13" s="259" t="inlineStr">
        <is>
          <t>Travel</t>
        </is>
      </c>
      <c r="B13" s="260" t="n">
        <v>113</v>
      </c>
      <c r="C13" s="260" t="n">
        <v>181</v>
      </c>
      <c r="D13" s="260" t="n">
        <v>-68</v>
      </c>
      <c r="E13" s="261" t="n">
        <v>-0.38</v>
      </c>
      <c r="F13" s="260" t="n">
        <v>162</v>
      </c>
      <c r="G13" s="260" t="n">
        <v>-49</v>
      </c>
      <c r="H13" s="261" t="n">
        <v>-0.3</v>
      </c>
    </row>
    <row r="14">
      <c r="A14" s="262" t="inlineStr">
        <is>
          <t>EBITDA</t>
        </is>
      </c>
      <c r="B14" s="263" t="n">
        <v>3363</v>
      </c>
      <c r="C14" s="263" t="n">
        <v>3000</v>
      </c>
      <c r="D14" s="263" t="n">
        <v>363</v>
      </c>
      <c r="E14" s="264" t="n">
        <v>0.12</v>
      </c>
      <c r="F14" s="263" t="n">
        <v>3224</v>
      </c>
      <c r="G14" s="263" t="n">
        <v>140</v>
      </c>
      <c r="H14" s="264" t="n">
        <v>0.04</v>
      </c>
    </row>
    <row r="15">
      <c r="A15" s="259" t="inlineStr">
        <is>
          <t>Charity</t>
        </is>
      </c>
      <c r="B15" s="260" t="n">
        <v>601</v>
      </c>
      <c r="C15" s="260" t="n">
        <v>557</v>
      </c>
      <c r="D15" s="260" t="n">
        <v>44</v>
      </c>
      <c r="E15" s="261" t="n">
        <v>0.08</v>
      </c>
      <c r="F15" s="260" t="n">
        <v>558</v>
      </c>
      <c r="G15" s="260" t="n">
        <v>43</v>
      </c>
      <c r="H15" s="261" t="n">
        <v>0.08</v>
      </c>
    </row>
    <row r="16">
      <c r="A16" s="259" t="inlineStr">
        <is>
          <t>Depreciation</t>
        </is>
      </c>
      <c r="B16" s="260" t="n">
        <v>45</v>
      </c>
      <c r="C16" s="260" t="n">
        <v>44</v>
      </c>
      <c r="D16" s="260" t="n">
        <v>1</v>
      </c>
      <c r="E16" s="261" t="n">
        <v>0.03</v>
      </c>
      <c r="F16" s="260" t="n">
        <v>49</v>
      </c>
      <c r="G16" s="260" t="n">
        <v>-4</v>
      </c>
      <c r="H16" s="261" t="n">
        <v>-0.08</v>
      </c>
    </row>
    <row r="17">
      <c r="A17" s="262" t="inlineStr">
        <is>
          <t>Net Income</t>
        </is>
      </c>
      <c r="B17" s="263" t="n">
        <v>2717</v>
      </c>
      <c r="C17" s="263" t="n">
        <v>2399</v>
      </c>
      <c r="D17" s="263" t="n">
        <v>318</v>
      </c>
      <c r="E17" s="264" t="n">
        <v>0.13</v>
      </c>
      <c r="F17" s="263" t="n">
        <v>2616</v>
      </c>
      <c r="G17" s="263" t="n">
        <v>101</v>
      </c>
      <c r="H17" s="264" t="n">
        <v>0.04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2024 Cash Flow Statement</t>
        </is>
      </c>
      <c r="B1" s="257" t="n"/>
      <c r="C1" s="257" t="n"/>
      <c r="D1" s="257" t="n"/>
    </row>
    <row r="2">
      <c r="A2" s="257" t="n"/>
      <c r="B2" s="257" t="n"/>
      <c r="C2" s="257" t="n"/>
      <c r="D2" s="257" t="n"/>
    </row>
    <row r="3" ht="34" customHeight="1">
      <c r="A3" s="258" t="inlineStr">
        <is>
          <t>(in 000's)</t>
        </is>
      </c>
      <c r="B3" s="258" t="inlineStr">
        <is>
          <t>2024 Actual</t>
        </is>
      </c>
      <c r="C3" s="258" t="inlineStr">
        <is>
          <t>2023 Actual</t>
        </is>
      </c>
      <c r="D3" s="258" t="inlineStr">
        <is>
          <t>Change YOY</t>
        </is>
      </c>
    </row>
    <row r="4">
      <c r="A4" s="259" t="inlineStr">
        <is>
          <t>Beginning Cash</t>
        </is>
      </c>
      <c r="B4" s="260" t="n">
        <v>2836</v>
      </c>
      <c r="C4" s="260" t="n">
        <v>5033</v>
      </c>
      <c r="D4" s="260" t="n">
        <v>-2197</v>
      </c>
    </row>
    <row r="5">
      <c r="A5" s="259" t="inlineStr">
        <is>
          <t>EBITDA</t>
        </is>
      </c>
      <c r="B5" s="260" t="n">
        <v>3224</v>
      </c>
      <c r="C5" s="260" t="n">
        <v>1190</v>
      </c>
      <c r="D5" s="260" t="n">
        <v>2034</v>
      </c>
    </row>
    <row r="6">
      <c r="A6" s="259" t="inlineStr">
        <is>
          <t>Increase in Receivables</t>
        </is>
      </c>
      <c r="B6" s="260" t="n">
        <v>-651</v>
      </c>
      <c r="C6" s="260" t="n">
        <v>-261</v>
      </c>
      <c r="D6" s="260" t="n">
        <v>-390</v>
      </c>
    </row>
    <row r="7">
      <c r="A7" s="259" t="inlineStr">
        <is>
          <t>Purchases of inventory</t>
        </is>
      </c>
      <c r="B7" s="260" t="n">
        <v>-501</v>
      </c>
      <c r="C7" s="260" t="n">
        <v>-1584</v>
      </c>
      <c r="D7" s="260" t="n">
        <v>1083</v>
      </c>
    </row>
    <row r="8">
      <c r="A8" s="259" t="inlineStr">
        <is>
          <t>Change in Payables</t>
        </is>
      </c>
      <c r="B8" s="260" t="n">
        <v>305</v>
      </c>
      <c r="C8" s="260" t="n">
        <v>-101</v>
      </c>
      <c r="D8" s="260" t="n">
        <v>406</v>
      </c>
    </row>
    <row r="9">
      <c r="A9" s="259" t="inlineStr">
        <is>
          <t>Other working capital</t>
        </is>
      </c>
      <c r="B9" s="260" t="n">
        <v>328</v>
      </c>
      <c r="C9" s="260" t="n">
        <v>-750</v>
      </c>
      <c r="D9" s="260" t="n">
        <v>1077</v>
      </c>
    </row>
    <row r="10">
      <c r="A10" s="262" t="inlineStr">
        <is>
          <t>Free cash generated (used)</t>
        </is>
      </c>
      <c r="B10" s="263" t="n">
        <v>2705</v>
      </c>
      <c r="C10" s="263" t="n">
        <v>-1506</v>
      </c>
      <c r="D10" s="263" t="n">
        <v>4210</v>
      </c>
    </row>
    <row r="11">
      <c r="A11" s="259" t="inlineStr">
        <is>
          <t>Contributions</t>
        </is>
      </c>
      <c r="B11" s="260" t="n">
        <v>-558</v>
      </c>
      <c r="C11" s="260" t="n">
        <v>-339</v>
      </c>
      <c r="D11" s="260" t="n">
        <v>-219</v>
      </c>
    </row>
    <row r="12">
      <c r="A12" s="259" t="inlineStr">
        <is>
          <t>Fixed asset additions</t>
        </is>
      </c>
      <c r="B12" s="260" t="n">
        <v>-25</v>
      </c>
      <c r="C12" s="260" t="n">
        <v>-20</v>
      </c>
      <c r="D12" s="260" t="n">
        <v>-5</v>
      </c>
    </row>
    <row r="13">
      <c r="A13" s="259" t="inlineStr">
        <is>
          <t>Repayment of loan</t>
        </is>
      </c>
      <c r="B13" s="260" t="n">
        <v>-486</v>
      </c>
      <c r="C13" s="260" t="n">
        <v>-348</v>
      </c>
      <c r="D13" s="260" t="n">
        <v>-138</v>
      </c>
    </row>
    <row r="14">
      <c r="A14" s="259" t="inlineStr">
        <is>
          <t>State income tax payments</t>
        </is>
      </c>
      <c r="B14" s="260" t="n">
        <v>-46</v>
      </c>
      <c r="C14" s="260" t="n">
        <v>16</v>
      </c>
      <c r="D14" s="260" t="n">
        <v>-62</v>
      </c>
    </row>
    <row r="15">
      <c r="A15" s="262" t="inlineStr">
        <is>
          <t>Total cash generated (used)</t>
        </is>
      </c>
      <c r="B15" s="263" t="n">
        <v>1589</v>
      </c>
      <c r="C15" s="263" t="n">
        <v>-2197</v>
      </c>
      <c r="D15" s="263" t="n">
        <v>3786</v>
      </c>
    </row>
    <row r="16">
      <c r="A16" s="262" t="inlineStr">
        <is>
          <t>End Cash</t>
        </is>
      </c>
      <c r="B16" s="263" t="n">
        <v>4426</v>
      </c>
      <c r="C16" s="263" t="n">
        <v>2836</v>
      </c>
      <c r="D16" s="263" t="n">
        <v>1589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2024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2024 Actual</t>
        </is>
      </c>
      <c r="C3" s="258" t="inlineStr">
        <is>
          <t>2024 Plan</t>
        </is>
      </c>
      <c r="D3" s="258" t="inlineStr">
        <is>
          <t>2024 Actual vs Plan Variance</t>
        </is>
      </c>
      <c r="E3" s="258" t="inlineStr">
        <is>
          <t>%</t>
        </is>
      </c>
      <c r="F3" s="258" t="inlineStr">
        <is>
          <t>2023 Actual</t>
        </is>
      </c>
      <c r="G3" s="258" t="inlineStr">
        <is>
          <t>2024 Actual vs 2023 Actual</t>
        </is>
      </c>
      <c r="H3" s="258" t="inlineStr">
        <is>
          <t>%</t>
        </is>
      </c>
    </row>
    <row r="4">
      <c r="A4" s="259" t="inlineStr">
        <is>
          <t>Core Sales</t>
        </is>
      </c>
      <c r="B4" s="260" t="n">
        <v>18117</v>
      </c>
      <c r="C4" s="260" t="n">
        <v>13750</v>
      </c>
      <c r="D4" s="260" t="n">
        <v>4367</v>
      </c>
      <c r="E4" s="261" t="n">
        <v>0.32</v>
      </c>
      <c r="F4" s="260" t="n">
        <v>12300</v>
      </c>
      <c r="G4" s="260" t="n">
        <v>5817</v>
      </c>
      <c r="H4" s="261" t="n">
        <v>0.47</v>
      </c>
    </row>
    <row r="5">
      <c r="A5" s="259" t="inlineStr">
        <is>
          <t>Net Other</t>
        </is>
      </c>
      <c r="B5" s="260" t="n">
        <v>158</v>
      </c>
      <c r="C5" s="260" t="n">
        <v>96</v>
      </c>
      <c r="D5" s="260" t="n">
        <v>62</v>
      </c>
      <c r="E5" s="261" t="n">
        <v>0.64</v>
      </c>
      <c r="F5" s="260" t="n">
        <v>-21</v>
      </c>
      <c r="G5" s="260" t="n">
        <v>179</v>
      </c>
      <c r="H5" s="266" t="inlineStr">
        <is>
          <t>--</t>
        </is>
      </c>
    </row>
    <row r="6">
      <c r="A6" s="262" t="inlineStr">
        <is>
          <t>Gross Margin</t>
        </is>
      </c>
      <c r="B6" s="263" t="n">
        <v>11401</v>
      </c>
      <c r="C6" s="263" t="n">
        <v>8726</v>
      </c>
      <c r="D6" s="263" t="n">
        <v>2675</v>
      </c>
      <c r="E6" s="264" t="n">
        <v>0.31</v>
      </c>
      <c r="F6" s="263" t="n">
        <v>7675</v>
      </c>
      <c r="G6" s="263" t="n">
        <v>3726</v>
      </c>
      <c r="H6" s="264" t="n">
        <v>0.49</v>
      </c>
    </row>
    <row r="7">
      <c r="A7" s="259" t="inlineStr">
        <is>
          <t>Core Magin %</t>
        </is>
      </c>
      <c r="B7" s="265" t="n">
        <v>0.621</v>
      </c>
      <c r="C7" s="265" t="n">
        <v>0.628</v>
      </c>
      <c r="D7" s="265" t="n">
        <v>-0.006999999999999999</v>
      </c>
      <c r="E7" s="261" t="n">
        <v>-0.01</v>
      </c>
      <c r="F7" s="265" t="n">
        <v>0.626</v>
      </c>
      <c r="G7" s="265" t="n">
        <v>-0.005</v>
      </c>
      <c r="H7" s="261" t="n">
        <v>-0.01</v>
      </c>
    </row>
    <row r="8">
      <c r="A8" s="259" t="inlineStr">
        <is>
          <t>Employee</t>
        </is>
      </c>
      <c r="B8" s="260" t="n">
        <v>3922</v>
      </c>
      <c r="C8" s="260" t="n">
        <v>3562</v>
      </c>
      <c r="D8" s="260" t="n">
        <v>360</v>
      </c>
      <c r="E8" s="261" t="n">
        <v>0.1</v>
      </c>
      <c r="F8" s="260" t="n">
        <v>3193</v>
      </c>
      <c r="G8" s="260" t="n">
        <v>729</v>
      </c>
      <c r="H8" s="261" t="n">
        <v>0.23</v>
      </c>
    </row>
    <row r="9">
      <c r="A9" s="259" t="inlineStr">
        <is>
          <t>Marketing</t>
        </is>
      </c>
      <c r="B9" s="260" t="n">
        <v>1376</v>
      </c>
      <c r="C9" s="260" t="n">
        <v>1374</v>
      </c>
      <c r="D9" s="260" t="n">
        <v>1</v>
      </c>
      <c r="E9" s="261" t="n">
        <v>0</v>
      </c>
      <c r="F9" s="260" t="n">
        <v>887</v>
      </c>
      <c r="G9" s="260" t="n">
        <v>488</v>
      </c>
      <c r="H9" s="261" t="n">
        <v>0.55</v>
      </c>
    </row>
    <row r="10">
      <c r="A10" s="259" t="inlineStr">
        <is>
          <t>Admin</t>
        </is>
      </c>
      <c r="B10" s="260" t="n">
        <v>1688</v>
      </c>
      <c r="C10" s="260" t="n">
        <v>1636</v>
      </c>
      <c r="D10" s="260" t="n">
        <v>52</v>
      </c>
      <c r="E10" s="261" t="n">
        <v>0.03</v>
      </c>
      <c r="F10" s="260" t="n">
        <v>1572</v>
      </c>
      <c r="G10" s="260" t="n">
        <v>116</v>
      </c>
      <c r="H10" s="261" t="n">
        <v>0.07000000000000001</v>
      </c>
    </row>
    <row r="11">
      <c r="A11" s="259" t="inlineStr">
        <is>
          <t>Consulting</t>
        </is>
      </c>
      <c r="B11" s="260" t="n">
        <v>575</v>
      </c>
      <c r="C11" s="260" t="n">
        <v>492</v>
      </c>
      <c r="D11" s="260" t="n">
        <v>83</v>
      </c>
      <c r="E11" s="261" t="n">
        <v>0.17</v>
      </c>
      <c r="F11" s="260" t="n">
        <v>408</v>
      </c>
      <c r="G11" s="260" t="n">
        <v>167</v>
      </c>
      <c r="H11" s="261" t="n">
        <v>0.41</v>
      </c>
    </row>
    <row r="12">
      <c r="A12" s="259" t="inlineStr">
        <is>
          <t>Fees</t>
        </is>
      </c>
      <c r="B12" s="260" t="n">
        <v>455</v>
      </c>
      <c r="C12" s="260" t="n">
        <v>375</v>
      </c>
      <c r="D12" s="260" t="n">
        <v>80</v>
      </c>
      <c r="E12" s="261" t="n">
        <v>0.21</v>
      </c>
      <c r="F12" s="260" t="n">
        <v>344</v>
      </c>
      <c r="G12" s="260" t="n">
        <v>111</v>
      </c>
      <c r="H12" s="261" t="n">
        <v>0.32</v>
      </c>
    </row>
    <row r="13">
      <c r="A13" s="259" t="inlineStr">
        <is>
          <t>Travel</t>
        </is>
      </c>
      <c r="B13" s="260" t="n">
        <v>162</v>
      </c>
      <c r="C13" s="260" t="n">
        <v>170</v>
      </c>
      <c r="D13" s="260" t="n">
        <v>-8</v>
      </c>
      <c r="E13" s="261" t="n">
        <v>-0.05</v>
      </c>
      <c r="F13" s="260" t="n">
        <v>81</v>
      </c>
      <c r="G13" s="260" t="n">
        <v>81</v>
      </c>
      <c r="H13" s="261" t="n">
        <v>0.99</v>
      </c>
    </row>
    <row r="14">
      <c r="A14" s="262" t="inlineStr">
        <is>
          <t>EBITDA</t>
        </is>
      </c>
      <c r="B14" s="263" t="n">
        <v>3224</v>
      </c>
      <c r="C14" s="263" t="n">
        <v>1118</v>
      </c>
      <c r="D14" s="263" t="n">
        <v>2106</v>
      </c>
      <c r="E14" s="264" t="n">
        <v>1.88</v>
      </c>
      <c r="F14" s="263" t="n">
        <v>1190</v>
      </c>
      <c r="G14" s="263" t="n">
        <v>2034</v>
      </c>
      <c r="H14" s="264" t="n">
        <v>1.71</v>
      </c>
    </row>
    <row r="15">
      <c r="A15" s="259" t="inlineStr">
        <is>
          <t>Charity</t>
        </is>
      </c>
      <c r="B15" s="260" t="n">
        <v>558</v>
      </c>
      <c r="C15" s="260" t="n">
        <v>350</v>
      </c>
      <c r="D15" s="260" t="n">
        <v>208</v>
      </c>
      <c r="E15" s="261" t="n">
        <v>0.59</v>
      </c>
      <c r="F15" s="260" t="n">
        <v>339</v>
      </c>
      <c r="G15" s="260" t="n">
        <v>219</v>
      </c>
      <c r="H15" s="261" t="n">
        <v>0.65</v>
      </c>
    </row>
    <row r="16">
      <c r="A16" s="259" t="inlineStr">
        <is>
          <t>Depreciation</t>
        </is>
      </c>
      <c r="B16" s="260" t="n">
        <v>49</v>
      </c>
      <c r="C16" s="260" t="n">
        <v>61</v>
      </c>
      <c r="D16" s="260" t="n">
        <v>-12</v>
      </c>
      <c r="E16" s="261" t="n">
        <v>-0.19</v>
      </c>
      <c r="F16" s="260" t="n">
        <v>71</v>
      </c>
      <c r="G16" s="260" t="n">
        <v>-21</v>
      </c>
      <c r="H16" s="261" t="n">
        <v>-0.3</v>
      </c>
    </row>
    <row r="17">
      <c r="A17" s="262" t="inlineStr">
        <is>
          <t>Net Income</t>
        </is>
      </c>
      <c r="B17" s="263" t="n">
        <v>2616</v>
      </c>
      <c r="C17" s="263" t="n">
        <v>707</v>
      </c>
      <c r="D17" s="263" t="n">
        <v>1909</v>
      </c>
      <c r="E17" s="264" t="n">
        <v>2.7</v>
      </c>
      <c r="F17" s="263" t="n">
        <v>780</v>
      </c>
      <c r="G17" s="263" t="n">
        <v>1836</v>
      </c>
      <c r="H17" s="264" t="n">
        <v>2.35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2025 Cash Flow Statement</t>
        </is>
      </c>
      <c r="B1" s="257" t="n"/>
      <c r="C1" s="257" t="n"/>
      <c r="D1" s="257" t="n"/>
    </row>
    <row r="2">
      <c r="A2" s="257" t="n"/>
      <c r="B2" s="257" t="n"/>
      <c r="C2" s="257" t="n"/>
      <c r="D2" s="257" t="n"/>
    </row>
    <row r="3" ht="34" customHeight="1">
      <c r="A3" s="258" t="inlineStr">
        <is>
          <t>(in 000's)</t>
        </is>
      </c>
      <c r="B3" s="258" t="inlineStr">
        <is>
          <t>2025 Actual</t>
        </is>
      </c>
      <c r="C3" s="258" t="inlineStr">
        <is>
          <t>2024 Actual</t>
        </is>
      </c>
      <c r="D3" s="258" t="inlineStr">
        <is>
          <t>Change YOY</t>
        </is>
      </c>
    </row>
    <row r="4">
      <c r="A4" s="259" t="inlineStr">
        <is>
          <t>Beginning Cash</t>
        </is>
      </c>
      <c r="B4" s="260" t="n">
        <v>4426</v>
      </c>
      <c r="C4" s="260" t="n">
        <v>2836</v>
      </c>
      <c r="D4" s="260" t="n">
        <v>1589</v>
      </c>
    </row>
    <row r="5">
      <c r="A5" s="259" t="inlineStr">
        <is>
          <t>EBITDA</t>
        </is>
      </c>
      <c r="B5" s="260" t="n">
        <v>3363</v>
      </c>
      <c r="C5" s="260" t="n">
        <v>3224</v>
      </c>
      <c r="D5" s="260" t="n">
        <v>140</v>
      </c>
    </row>
    <row r="6">
      <c r="A6" s="259" t="inlineStr">
        <is>
          <t>Change in Receivables</t>
        </is>
      </c>
      <c r="B6" s="260" t="n">
        <v>539</v>
      </c>
      <c r="C6" s="260" t="n">
        <v>-651</v>
      </c>
      <c r="D6" s="260" t="n">
        <v>1190</v>
      </c>
    </row>
    <row r="7">
      <c r="A7" s="259" t="inlineStr">
        <is>
          <t>Purchases of inventory</t>
        </is>
      </c>
      <c r="B7" s="260" t="n">
        <v>-282</v>
      </c>
      <c r="C7" s="260" t="n">
        <v>-501</v>
      </c>
      <c r="D7" s="260" t="n">
        <v>218</v>
      </c>
    </row>
    <row r="8">
      <c r="A8" s="259" t="inlineStr">
        <is>
          <t>Change in Payables</t>
        </is>
      </c>
      <c r="B8" s="260" t="n">
        <v>-501</v>
      </c>
      <c r="C8" s="260" t="n">
        <v>305</v>
      </c>
      <c r="D8" s="260" t="n">
        <v>-806</v>
      </c>
    </row>
    <row r="9">
      <c r="A9" s="259" t="inlineStr">
        <is>
          <t>Other working capital</t>
        </is>
      </c>
      <c r="B9" s="260" t="n">
        <v>148</v>
      </c>
      <c r="C9" s="260" t="n">
        <v>328</v>
      </c>
      <c r="D9" s="260" t="n">
        <v>-180</v>
      </c>
    </row>
    <row r="10">
      <c r="A10" s="262" t="inlineStr">
        <is>
          <t>Free cash generated (used)</t>
        </is>
      </c>
      <c r="B10" s="263" t="n">
        <v>3267</v>
      </c>
      <c r="C10" s="263" t="n">
        <v>2705</v>
      </c>
      <c r="D10" s="263" t="n">
        <v>562</v>
      </c>
    </row>
    <row r="11">
      <c r="A11" s="259" t="inlineStr">
        <is>
          <t>Contributions</t>
        </is>
      </c>
      <c r="B11" s="260" t="n">
        <v>-601</v>
      </c>
      <c r="C11" s="260" t="n">
        <v>-558</v>
      </c>
      <c r="D11" s="260" t="n">
        <v>-43</v>
      </c>
    </row>
    <row r="12">
      <c r="A12" s="259" t="inlineStr">
        <is>
          <t>Fixed asset additions</t>
        </is>
      </c>
      <c r="B12" s="260" t="n">
        <v>-12</v>
      </c>
      <c r="C12" s="260" t="n">
        <v>-25</v>
      </c>
      <c r="D12" s="260" t="n">
        <v>13</v>
      </c>
    </row>
    <row r="13">
      <c r="A13" s="259" t="inlineStr">
        <is>
          <t>Repayment of loan</t>
        </is>
      </c>
      <c r="B13" s="260" t="n">
        <v>-435</v>
      </c>
      <c r="C13" s="260" t="n">
        <v>-486</v>
      </c>
      <c r="D13" s="260" t="n">
        <v>51</v>
      </c>
    </row>
    <row r="14">
      <c r="A14" s="259" t="inlineStr">
        <is>
          <t>Income tax payments</t>
        </is>
      </c>
      <c r="B14" s="260" t="n">
        <v>-1141</v>
      </c>
      <c r="C14" s="260" t="n">
        <v>-46</v>
      </c>
      <c r="D14" s="260" t="n">
        <v>-1095</v>
      </c>
    </row>
    <row r="15">
      <c r="A15" s="262" t="inlineStr">
        <is>
          <t>Total cash generated (used)</t>
        </is>
      </c>
      <c r="B15" s="263" t="n">
        <v>1078</v>
      </c>
      <c r="C15" s="263" t="n">
        <v>1589</v>
      </c>
      <c r="D15" s="263" t="n">
        <v>-511</v>
      </c>
    </row>
    <row r="16">
      <c r="A16" s="262" t="inlineStr">
        <is>
          <t>End Cash</t>
        </is>
      </c>
      <c r="B16" s="263" t="n">
        <v>5504</v>
      </c>
      <c r="C16" s="263" t="n">
        <v>4426</v>
      </c>
      <c r="D16" s="263" t="n">
        <v>1078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Melissa Kaplan</dc:creator>
  <dcterms:created xmlns:dcterms="http://purl.org/dc/terms/" xmlns:xsi="http://www.w3.org/2001/XMLSchema-instance" xsi:type="dcterms:W3CDTF">2025-09-10T17:47:06Z</dcterms:created>
  <dcterms:modified xmlns:dcterms="http://purl.org/dc/terms/" xmlns:xsi="http://www.w3.org/2001/XMLSchema-instance" xsi:type="dcterms:W3CDTF">2026-07-30T00:00:08Z</dcterms:modified>
  <cp:lastModifiedBy>K Sch</cp:lastModifiedBy>
</cp:coreProperties>
</file>