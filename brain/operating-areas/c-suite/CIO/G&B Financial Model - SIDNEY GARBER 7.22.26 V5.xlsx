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40" yWindow="580" windowWidth="20500" windowHeight="14800" tabRatio="600" firstSheet="0" activeTab="2" autoFilterDateGrouping="1"/>
  </bookViews>
  <sheets>
    <sheet xmlns:r="http://schemas.openxmlformats.org/officeDocument/2006/relationships" name="Case Summary" sheetId="1" state="visible" r:id="rId1"/>
    <sheet xmlns:r="http://schemas.openxmlformats.org/officeDocument/2006/relationships" name="Model Notes" sheetId="2" state="visible" r:id="rId2"/>
    <sheet xmlns:r="http://schemas.openxmlformats.org/officeDocument/2006/relationships" name="Model Template" sheetId="3" state="visible" r:id="rId3"/>
    <sheet xmlns:r="http://schemas.openxmlformats.org/officeDocument/2006/relationships" name="Growth" sheetId="4" state="visible" r:id="rId4"/>
    <sheet xmlns:r="http://schemas.openxmlformats.org/officeDocument/2006/relationships" name="Value" sheetId="5" state="visible" r:id="rId5"/>
    <sheet xmlns:r="http://schemas.openxmlformats.org/officeDocument/2006/relationships" name="Raw 2025 IS" sheetId="6" state="visible" r:id="rId6"/>
    <sheet xmlns:r="http://schemas.openxmlformats.org/officeDocument/2006/relationships" name="Raw 2024 CF" sheetId="7" state="visible" r:id="rId7"/>
    <sheet xmlns:r="http://schemas.openxmlformats.org/officeDocument/2006/relationships" name="Raw 2024 IS" sheetId="8" state="visible" r:id="rId8"/>
    <sheet xmlns:r="http://schemas.openxmlformats.org/officeDocument/2006/relationships" name="Raw 2025 CF" sheetId="9" state="visible" r:id="rId9"/>
    <sheet xmlns:r="http://schemas.openxmlformats.org/officeDocument/2006/relationships" name="Downside Case" sheetId="10" state="visible" r:id="rId10"/>
    <sheet xmlns:r="http://schemas.openxmlformats.org/officeDocument/2006/relationships" name="Base Case" sheetId="11" state="visible" r:id="rId11"/>
    <sheet xmlns:r="http://schemas.openxmlformats.org/officeDocument/2006/relationships" name="Upside Case" sheetId="12" state="visible" r:id="rId12"/>
  </sheets>
  <definedNames/>
  <calcPr calcId="191029" calcMode="auto" fullCalcOnLoad="1" forceFullCalc="1"/>
</workbook>
</file>

<file path=xl/styles.xml><?xml version="1.0" encoding="utf-8"?>
<styleSheet xmlns="http://schemas.openxmlformats.org/spreadsheetml/2006/main">
  <numFmts count="24">
    <numFmt numFmtId="164" formatCode="0.0\x;\(0.0\x\);&quot;–&quot;"/>
    <numFmt numFmtId="165" formatCode="##,##0;\(##,##0\)"/>
    <numFmt numFmtId="166" formatCode="&quot;$&quot;#,#00"/>
    <numFmt numFmtId="167" formatCode="0.0\x"/>
    <numFmt numFmtId="168" formatCode="0.0"/>
    <numFmt numFmtId="169" formatCode="##,##0.0;\(##,##0.0\)"/>
    <numFmt numFmtId="170" formatCode="&quot;$&quot;#,#00;\(&quot;$&quot;#,#00\)"/>
    <numFmt numFmtId="171" formatCode="\-"/>
    <numFmt numFmtId="172" formatCode="&quot;$&quot;##,##0;\(&quot;$&quot;##,##0\)"/>
    <numFmt numFmtId="173" formatCode="#%"/>
    <numFmt numFmtId="174" formatCode="&quot;$&quot;#,##0.00_);\(&quot;$&quot;#,##0.00\)"/>
    <numFmt numFmtId="175" formatCode="yyyy;@"/>
    <numFmt numFmtId="176" formatCode="mm\-dd\-yyyy;@"/>
    <numFmt numFmtId="177" formatCode="0.0000"/>
    <numFmt numFmtId="178" formatCode="#0%"/>
    <numFmt numFmtId="179" formatCode="#0.00%"/>
    <numFmt numFmtId="180" formatCode="#0.0000%"/>
    <numFmt numFmtId="181" formatCode="&quot;$&quot;#,##0.00"/>
    <numFmt numFmtId="182" formatCode="&quot;$&quot;#,##0.0_);\(&quot;$&quot;#,##0.0\)"/>
    <numFmt numFmtId="183" formatCode="#,##0;(#,##0);-"/>
    <numFmt numFmtId="184" formatCode="0%;-0%;0%"/>
    <numFmt numFmtId="185" formatCode="0.0%;-0.0%;0.0%"/>
    <numFmt numFmtId="186" formatCode="0.0x"/>
    <numFmt numFmtId="187" formatCode="0.0%"/>
  </numFmts>
  <fonts count="32">
    <font>
      <name val="Aptos Narrow"/>
      <family val="2"/>
      <color theme="1"/>
      <sz val="11"/>
      <scheme val="minor"/>
    </font>
    <font>
      <name val="Aptos Narrow"/>
      <family val="2"/>
      <color theme="1"/>
      <sz val="11"/>
      <scheme val="minor"/>
    </font>
    <font>
      <name val="Arial"/>
      <family val="2"/>
      <color theme="0"/>
      <sz val="20"/>
    </font>
    <font>
      <name val="Arial"/>
      <family val="2"/>
      <color theme="1"/>
      <sz val="8"/>
    </font>
    <font>
      <name val="Arial"/>
      <family val="2"/>
      <color theme="0"/>
      <sz val="8"/>
    </font>
    <font>
      <name val="Arial"/>
      <family val="2"/>
      <i val="1"/>
      <color theme="1"/>
      <sz val="8"/>
    </font>
    <font>
      <name val="Arial"/>
      <family val="2"/>
      <color theme="1"/>
      <sz val="8"/>
      <u val="single"/>
    </font>
    <font>
      <name val="Arial"/>
      <family val="2"/>
      <color rgb="FF0000FF"/>
      <sz val="8"/>
    </font>
    <font>
      <name val="Arial"/>
      <family val="2"/>
      <sz val="8"/>
    </font>
    <font>
      <name val="Arial"/>
      <family val="2"/>
      <b val="1"/>
      <color theme="0"/>
      <sz val="8"/>
    </font>
    <font>
      <name val="Arial"/>
      <family val="2"/>
      <b val="1"/>
      <color theme="1"/>
      <sz val="8"/>
      <u val="single"/>
    </font>
    <font>
      <name val="Arial"/>
      <family val="2"/>
      <i val="1"/>
      <color rgb="FF0000FF"/>
      <sz val="8"/>
    </font>
    <font>
      <name val="Arial"/>
      <family val="2"/>
      <color rgb="FF000000"/>
      <sz val="8"/>
    </font>
    <font>
      <name val="Arial"/>
      <family val="2"/>
      <color theme="2"/>
      <sz val="8"/>
    </font>
    <font>
      <name val="Arial"/>
      <family val="2"/>
      <color rgb="FFFF0000"/>
      <sz val="8"/>
    </font>
    <font>
      <name val="Arial"/>
      <family val="2"/>
      <b val="1"/>
      <color rgb="FFFF0000"/>
      <sz val="8"/>
    </font>
    <font>
      <name val="Aptos Narrow"/>
      <family val="2"/>
      <color theme="10"/>
      <sz val="11"/>
      <u val="single"/>
      <scheme val="minor"/>
    </font>
    <font>
      <name val="Arial"/>
      <family val="2"/>
      <i val="1"/>
      <color theme="5"/>
      <sz val="8"/>
    </font>
    <font>
      <name val="Arial"/>
      <family val="2"/>
      <b val="1"/>
      <color theme="1"/>
      <sz val="8"/>
    </font>
    <font>
      <name val="Arial"/>
      <family val="2"/>
      <i val="1"/>
      <color rgb="FFFF0000"/>
      <sz val="8"/>
    </font>
    <font>
      <name val="Arial"/>
      <family val="2"/>
      <b val="1"/>
      <sz val="8"/>
      <u val="single"/>
    </font>
    <font>
      <name val="Arial"/>
      <family val="2"/>
      <i val="1"/>
      <sz val="8"/>
    </font>
    <font>
      <name val="Arial"/>
      <family val="2"/>
      <i val="1"/>
      <color theme="1" tint="0.3499862666707358"/>
      <sz val="8"/>
    </font>
    <font>
      <name val="Arial"/>
      <family val="2"/>
      <color theme="1" tint="0.3499862666707358"/>
      <sz val="8"/>
    </font>
    <font>
      <name val="Arial"/>
      <family val="2"/>
      <i val="1"/>
      <color rgb="FF0000FF"/>
      <sz val="8"/>
      <u val="single"/>
    </font>
    <font>
      <name val="Arial"/>
      <family val="2"/>
      <color rgb="FFFF8000"/>
      <sz val="8"/>
    </font>
    <font>
      <b val="1"/>
      <sz val="18"/>
    </font>
    <font>
      <name val="Calibri"/>
      <family val="2"/>
      <color theme="1"/>
      <sz val="11"/>
      <scheme val="minor"/>
    </font>
    <font>
      <b val="1"/>
      <color rgb="00FFFFFF"/>
    </font>
    <font>
      <b val="1"/>
    </font>
    <font>
      <b val="1"/>
      <sz val="16"/>
    </font>
    <font>
      <b val="1"/>
      <sz val="14"/>
    </font>
  </fonts>
  <fills count="12">
    <fill>
      <patternFill/>
    </fill>
    <fill>
      <patternFill patternType="gray125"/>
    </fill>
    <fill>
      <patternFill patternType="solid">
        <fgColor theme="4"/>
        <bgColor indexed="64"/>
      </patternFill>
    </fill>
    <fill>
      <patternFill patternType="solid">
        <fgColor rgb="FF002060"/>
        <bgColor indexed="64"/>
      </patternFill>
    </fill>
    <fill>
      <patternFill patternType="solid">
        <fgColor rgb="FFFFF2CC"/>
        <bgColor indexed="64"/>
      </patternFill>
    </fill>
    <fill>
      <patternFill patternType="solid">
        <fgColor rgb="FFC9DAF8"/>
        <bgColor indexed="64"/>
      </patternFill>
    </fill>
    <fill>
      <patternFill patternType="solid">
        <fgColor theme="1"/>
        <bgColor indexed="64"/>
      </patternFill>
    </fill>
    <fill>
      <patternFill patternType="solid">
        <fgColor theme="0"/>
        <bgColor indexed="64"/>
      </patternFill>
    </fill>
    <fill>
      <patternFill patternType="solid">
        <fgColor theme="9" tint="0.7999816888943144"/>
        <bgColor indexed="64"/>
      </patternFill>
    </fill>
    <fill>
      <patternFill patternType="solid">
        <fgColor rgb="00071426"/>
      </patternFill>
    </fill>
    <fill>
      <patternFill patternType="solid">
        <fgColor rgb="00FFF2CC"/>
      </patternFill>
    </fill>
    <fill>
      <patternFill patternType="solid">
        <fgColor rgb="000F2741"/>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bottom style="thin">
        <color rgb="00000000"/>
      </bottom>
    </border>
    <border>
      <left/>
      <right/>
      <top/>
      <bottom style="hair">
        <color rgb="00D9D9D9"/>
      </bottom>
      <diagonal/>
    </border>
    <border>
      <top style="thin">
        <color rgb="00000000"/>
      </top>
      <bottom style="thin">
        <color rgb="00000000"/>
      </bottom>
    </border>
  </borders>
  <cellStyleXfs count="3">
    <xf numFmtId="0" fontId="1" fillId="0" borderId="0"/>
    <xf numFmtId="9" fontId="1" fillId="0" borderId="0"/>
    <xf numFmtId="0" fontId="16" fillId="0" borderId="0"/>
  </cellStyleXfs>
  <cellXfs count="280">
    <xf numFmtId="0" fontId="0" fillId="0" borderId="0" pivotButton="0" quotePrefix="0" xfId="0"/>
    <xf numFmtId="0" fontId="4" fillId="2" borderId="0" applyAlignment="1" pivotButton="0" quotePrefix="0" xfId="0">
      <alignment horizontal="center"/>
    </xf>
    <xf numFmtId="0" fontId="3" fillId="0" borderId="0" applyAlignment="1" pivotButton="0" quotePrefix="0" xfId="0">
      <alignment horizontal="center"/>
    </xf>
    <xf numFmtId="0" fontId="3" fillId="0" borderId="6" applyAlignment="1" pivotButton="0" quotePrefix="0" xfId="0">
      <alignment horizontal="left"/>
    </xf>
    <xf numFmtId="9" fontId="7" fillId="0" borderId="7" applyAlignment="1" pivotButton="0" quotePrefix="0" xfId="0">
      <alignment horizontal="right"/>
    </xf>
    <xf numFmtId="9" fontId="7" fillId="4" borderId="2" applyAlignment="1" pivotButton="0" quotePrefix="0" xfId="0">
      <alignment horizontal="center"/>
    </xf>
    <xf numFmtId="0" fontId="3" fillId="0" borderId="0" applyAlignment="1" pivotButton="0" quotePrefix="0" xfId="0">
      <alignment horizontal="right"/>
    </xf>
    <xf numFmtId="164" fontId="7" fillId="0" borderId="7" applyAlignment="1" pivotButton="0" quotePrefix="0" xfId="0">
      <alignment horizontal="right"/>
    </xf>
    <xf numFmtId="0" fontId="15" fillId="0" borderId="10" applyAlignment="1" pivotButton="0" quotePrefix="0" xfId="0">
      <alignment horizontal="center"/>
    </xf>
    <xf numFmtId="0" fontId="3" fillId="0" borderId="0" applyAlignment="1" pivotButton="0" quotePrefix="0" xfId="0">
      <alignment horizontal="left"/>
    </xf>
    <xf numFmtId="165" fontId="7" fillId="4" borderId="2" applyAlignment="1" pivotButton="0" quotePrefix="0" xfId="0">
      <alignment horizontal="right"/>
    </xf>
    <xf numFmtId="0" fontId="7" fillId="4" borderId="2" applyAlignment="1" pivotButton="0" quotePrefix="0" xfId="0">
      <alignment horizontal="right"/>
    </xf>
    <xf numFmtId="164" fontId="3" fillId="0" borderId="0" applyAlignment="1" pivotButton="0" quotePrefix="0" xfId="0">
      <alignment horizontal="right"/>
    </xf>
    <xf numFmtId="9" fontId="8" fillId="0" borderId="7" pivotButton="0" quotePrefix="0" xfId="1"/>
    <xf numFmtId="9" fontId="8" fillId="0" borderId="9" pivotButton="0" quotePrefix="0" xfId="1"/>
    <xf numFmtId="9" fontId="3" fillId="7" borderId="12" pivotButton="0" quotePrefix="0" xfId="1"/>
    <xf numFmtId="0" fontId="15" fillId="0" borderId="12" applyAlignment="1" pivotButton="0" quotePrefix="0" xfId="0">
      <alignment horizontal="center"/>
    </xf>
    <xf numFmtId="166" fontId="7" fillId="0" borderId="7" applyAlignment="1" pivotButton="0" quotePrefix="0" xfId="0">
      <alignment horizontal="right"/>
    </xf>
    <xf numFmtId="0" fontId="3" fillId="0" borderId="0" pivotButton="0" quotePrefix="0" xfId="0"/>
    <xf numFmtId="0" fontId="3" fillId="0" borderId="8" applyAlignment="1" pivotButton="0" quotePrefix="0" xfId="0">
      <alignment horizontal="left"/>
    </xf>
    <xf numFmtId="0" fontId="5" fillId="0" borderId="0" applyAlignment="1" pivotButton="0" quotePrefix="0" xfId="0">
      <alignment horizontal="left"/>
    </xf>
    <xf numFmtId="0" fontId="5" fillId="0" borderId="0" pivotButton="0" quotePrefix="0" xfId="0"/>
    <xf numFmtId="0" fontId="3" fillId="0" borderId="7" applyAlignment="1" pivotButton="0" quotePrefix="0" xfId="0">
      <alignment horizontal="right"/>
    </xf>
    <xf numFmtId="164" fontId="3" fillId="0" borderId="7" pivotButton="0" quotePrefix="0" xfId="0"/>
    <xf numFmtId="0" fontId="5" fillId="0" borderId="0" applyAlignment="1" pivotButton="0" quotePrefix="0" xfId="0">
      <alignment horizontal="center"/>
    </xf>
    <xf numFmtId="165" fontId="3" fillId="0" borderId="0" pivotButton="0" quotePrefix="0" xfId="0"/>
    <xf numFmtId="0" fontId="18" fillId="5" borderId="1" applyAlignment="1" pivotButton="0" quotePrefix="0" xfId="0">
      <alignment horizontal="left"/>
    </xf>
    <xf numFmtId="0" fontId="2" fillId="2" borderId="0" pivotButton="0" quotePrefix="0" xfId="0"/>
    <xf numFmtId="0" fontId="4" fillId="2" borderId="0" pivotButton="0" quotePrefix="0" xfId="0"/>
    <xf numFmtId="0" fontId="15" fillId="0" borderId="11" pivotButton="0" quotePrefix="0" xfId="0"/>
    <xf numFmtId="0" fontId="9" fillId="3" borderId="3" pivotButton="0" quotePrefix="0" xfId="0"/>
    <xf numFmtId="0" fontId="4" fillId="3" borderId="4" pivotButton="0" quotePrefix="0" xfId="0"/>
    <xf numFmtId="0" fontId="4" fillId="3" borderId="5" pivotButton="0" quotePrefix="0" xfId="0"/>
    <xf numFmtId="0" fontId="3" fillId="0" borderId="6" pivotButton="0" quotePrefix="0" xfId="0"/>
    <xf numFmtId="166" fontId="8" fillId="0" borderId="0" pivotButton="0" quotePrefix="0" xfId="0"/>
    <xf numFmtId="167" fontId="8" fillId="0" borderId="0" pivotButton="0" quotePrefix="0" xfId="0"/>
    <xf numFmtId="0" fontId="8" fillId="0" borderId="0" pivotButton="0" quotePrefix="0" xfId="0"/>
    <xf numFmtId="0" fontId="8" fillId="0" borderId="6" pivotButton="0" quotePrefix="0" xfId="0"/>
    <xf numFmtId="0" fontId="3" fillId="0" borderId="8" pivotButton="0" quotePrefix="0" xfId="0"/>
    <xf numFmtId="3" fontId="8" fillId="0" borderId="1" pivotButton="0" quotePrefix="0" xfId="0"/>
    <xf numFmtId="167" fontId="8" fillId="0" borderId="1" pivotButton="0" quotePrefix="0" xfId="0"/>
    <xf numFmtId="165" fontId="8" fillId="0" borderId="0" pivotButton="0" quotePrefix="0" xfId="0"/>
    <xf numFmtId="168" fontId="8" fillId="0" borderId="0" pivotButton="0" quotePrefix="0" xfId="0"/>
    <xf numFmtId="3" fontId="8" fillId="0" borderId="0" pivotButton="0" quotePrefix="0" xfId="0"/>
    <xf numFmtId="169" fontId="8" fillId="0" borderId="0" pivotButton="0" quotePrefix="0" xfId="0"/>
    <xf numFmtId="0" fontId="8" fillId="0" borderId="7" pivotButton="0" quotePrefix="0" xfId="0"/>
    <xf numFmtId="0" fontId="3" fillId="0" borderId="7" pivotButton="0" quotePrefix="0" xfId="0"/>
    <xf numFmtId="170" fontId="7" fillId="0" borderId="7" pivotButton="0" quotePrefix="0" xfId="0"/>
    <xf numFmtId="0" fontId="3" fillId="7" borderId="10" pivotButton="0" quotePrefix="0" xfId="0"/>
    <xf numFmtId="166" fontId="3" fillId="7" borderId="11" pivotButton="0" quotePrefix="0" xfId="0"/>
    <xf numFmtId="167" fontId="3" fillId="7" borderId="11" pivotButton="0" quotePrefix="0" xfId="0"/>
    <xf numFmtId="0" fontId="3" fillId="7" borderId="0" pivotButton="0" quotePrefix="0" xfId="0"/>
    <xf numFmtId="0" fontId="3" fillId="0" borderId="1" pivotButton="0" quotePrefix="0" xfId="0"/>
    <xf numFmtId="0" fontId="9" fillId="6" borderId="0" pivotButton="0" quotePrefix="0" xfId="0"/>
    <xf numFmtId="0" fontId="4" fillId="6" borderId="0" pivotButton="0" quotePrefix="0" xfId="0"/>
    <xf numFmtId="0" fontId="3" fillId="6" borderId="0" pivotButton="0" quotePrefix="0" xfId="0"/>
    <xf numFmtId="166" fontId="7" fillId="5" borderId="0" pivotButton="0" quotePrefix="0" xfId="0"/>
    <xf numFmtId="166" fontId="3" fillId="0" borderId="0" pivotButton="0" quotePrefix="0" xfId="0"/>
    <xf numFmtId="0" fontId="5" fillId="5" borderId="0" pivotButton="0" quotePrefix="0" xfId="0"/>
    <xf numFmtId="9" fontId="5" fillId="5" borderId="0" pivotButton="0" quotePrefix="0" xfId="1"/>
    <xf numFmtId="9" fontId="11" fillId="0" borderId="0" pivotButton="0" quotePrefix="0" xfId="1"/>
    <xf numFmtId="9" fontId="7" fillId="0" borderId="0" pivotButton="0" quotePrefix="0" xfId="1"/>
    <xf numFmtId="0" fontId="3" fillId="5" borderId="0" pivotButton="0" quotePrefix="0" xfId="0"/>
    <xf numFmtId="166" fontId="12" fillId="0" borderId="0" pivotButton="0" quotePrefix="0" xfId="1"/>
    <xf numFmtId="165" fontId="8" fillId="0" borderId="0" pivotButton="0" quotePrefix="0" xfId="1"/>
    <xf numFmtId="0" fontId="3" fillId="0" borderId="4" pivotButton="0" quotePrefix="0" xfId="0"/>
    <xf numFmtId="9" fontId="5" fillId="5" borderId="4" pivotButton="0" quotePrefix="0" xfId="1"/>
    <xf numFmtId="166" fontId="8" fillId="0" borderId="4" pivotButton="0" quotePrefix="0" xfId="1"/>
    <xf numFmtId="170" fontId="8" fillId="0" borderId="0" pivotButton="0" quotePrefix="0" xfId="1"/>
    <xf numFmtId="0" fontId="3" fillId="0" borderId="0" applyAlignment="1" pivotButton="0" quotePrefix="1" xfId="0">
      <alignment horizontal="left"/>
    </xf>
    <xf numFmtId="0" fontId="3" fillId="5" borderId="4"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0" fontId="14" fillId="0" borderId="0" pivotButton="0" quotePrefix="0" xfId="0"/>
    <xf numFmtId="0" fontId="6" fillId="0" borderId="0" pivotButton="0" quotePrefix="0" xfId="0"/>
    <xf numFmtId="172" fontId="3" fillId="0" borderId="0" pivotButton="0" quotePrefix="0" xfId="0"/>
    <xf numFmtId="165" fontId="12" fillId="0" borderId="0" pivotButton="0" quotePrefix="0" xfId="0"/>
    <xf numFmtId="172" fontId="8" fillId="0" borderId="0" pivotButton="0" quotePrefix="0" xfId="0"/>
    <xf numFmtId="9" fontId="7" fillId="0" borderId="0" pivotButton="0" quotePrefix="0" xfId="0"/>
    <xf numFmtId="0" fontId="13" fillId="0" borderId="0" pivotButton="0" quotePrefix="0" xfId="0"/>
    <xf numFmtId="9" fontId="7" fillId="4" borderId="13" pivotButton="0" quotePrefix="0" xfId="0"/>
    <xf numFmtId="9" fontId="7" fillId="4" borderId="2" pivotButton="0" quotePrefix="0" xfId="0"/>
    <xf numFmtId="170" fontId="7" fillId="4" borderId="2" pivotButton="0" quotePrefix="0" xfId="0"/>
    <xf numFmtId="9" fontId="3" fillId="0" borderId="0" pivotButton="0" quotePrefix="0" xfId="1"/>
    <xf numFmtId="9" fontId="3" fillId="0" borderId="0" pivotButton="0" quotePrefix="0" xfId="0"/>
    <xf numFmtId="9" fontId="3" fillId="0" borderId="4" pivotButton="0" quotePrefix="0" xfId="0"/>
    <xf numFmtId="173" fontId="3" fillId="0" borderId="0" pivotButton="0" quotePrefix="0" xfId="0"/>
    <xf numFmtId="2" fontId="3" fillId="0" borderId="0" pivotButton="0" quotePrefix="0" xfId="0"/>
    <xf numFmtId="0" fontId="17" fillId="0" borderId="0" pivotButton="0" quotePrefix="0" xfId="0"/>
    <xf numFmtId="170" fontId="3" fillId="0" borderId="7" pivotButton="0" quotePrefix="0" xfId="0"/>
    <xf numFmtId="3" fontId="3" fillId="0" borderId="0" pivotButton="0" quotePrefix="0" xfId="0"/>
    <xf numFmtId="165" fontId="14" fillId="0" borderId="0" pivotButton="0" quotePrefix="0" xfId="0"/>
    <xf numFmtId="0" fontId="18" fillId="5" borderId="3" pivotButton="0" quotePrefix="0" xfId="0"/>
    <xf numFmtId="165" fontId="3" fillId="5" borderId="4" pivotButton="0" quotePrefix="0" xfId="0"/>
    <xf numFmtId="0" fontId="3" fillId="5" borderId="6" pivotButton="0" quotePrefix="0" xfId="0"/>
    <xf numFmtId="0" fontId="3" fillId="5" borderId="7" pivotButton="0" quotePrefix="0" xfId="0"/>
    <xf numFmtId="0" fontId="18" fillId="5" borderId="0" pivotButton="0" quotePrefix="0" xfId="0"/>
    <xf numFmtId="9" fontId="3" fillId="5" borderId="7" pivotButton="0" quotePrefix="0" xfId="0"/>
    <xf numFmtId="167" fontId="3" fillId="5" borderId="7" pivotButton="0" quotePrefix="0" xfId="0"/>
    <xf numFmtId="0" fontId="3" fillId="5" borderId="8" pivotButton="0" quotePrefix="0" xfId="0"/>
    <xf numFmtId="0" fontId="3" fillId="5" borderId="1" pivotButton="0" quotePrefix="0" xfId="0"/>
    <xf numFmtId="170" fontId="3" fillId="5" borderId="9" pivotButton="0" quotePrefix="0" xfId="0"/>
    <xf numFmtId="170" fontId="7" fillId="0" borderId="9" pivotButton="0" quotePrefix="0" xfId="0"/>
    <xf numFmtId="164" fontId="7" fillId="4" borderId="2" applyAlignment="1" pivotButton="0" quotePrefix="0" xfId="0">
      <alignment horizontal="right"/>
    </xf>
    <xf numFmtId="172" fontId="3" fillId="5" borderId="4" pivotButton="0" quotePrefix="0" xfId="0"/>
    <xf numFmtId="172" fontId="3" fillId="5" borderId="5" pivotButton="0" quotePrefix="0" xfId="0"/>
    <xf numFmtId="0" fontId="3" fillId="5" borderId="4" applyAlignment="1" pivotButton="0" quotePrefix="0" xfId="0">
      <alignment horizontal="center"/>
    </xf>
    <xf numFmtId="0" fontId="3" fillId="5" borderId="5" pivotButton="0" quotePrefix="0" xfId="0"/>
    <xf numFmtId="0" fontId="3" fillId="5" borderId="0" applyAlignment="1" pivotButton="0" quotePrefix="0" xfId="0">
      <alignment horizontal="center"/>
    </xf>
    <xf numFmtId="0" fontId="3" fillId="5" borderId="1" applyAlignment="1" pivotButton="0" quotePrefix="0" xfId="0">
      <alignment horizontal="center"/>
    </xf>
    <xf numFmtId="0" fontId="3" fillId="5" borderId="9" pivotButton="0" quotePrefix="0" xfId="0"/>
    <xf numFmtId="0" fontId="10" fillId="5" borderId="3" pivotButton="0" quotePrefix="0" xfId="0"/>
    <xf numFmtId="0" fontId="3" fillId="5" borderId="6" pivotButton="0" quotePrefix="1" xfId="0"/>
    <xf numFmtId="0" fontId="5" fillId="5" borderId="6" pivotButton="0" quotePrefix="1" xfId="0"/>
    <xf numFmtId="0" fontId="3" fillId="5" borderId="8" pivotButton="0" quotePrefix="1" xfId="0"/>
    <xf numFmtId="173" fontId="3" fillId="0" borderId="0" applyAlignment="1" pivotButton="0" quotePrefix="0" xfId="0">
      <alignment horizontal="center"/>
    </xf>
    <xf numFmtId="173" fontId="12" fillId="0" borderId="0" applyAlignment="1" pivotButton="0" quotePrefix="0" xfId="0">
      <alignment horizontal="center"/>
    </xf>
    <xf numFmtId="0" fontId="19" fillId="0" borderId="0" pivotButton="0" quotePrefix="0" xfId="0"/>
    <xf numFmtId="0" fontId="3" fillId="0" borderId="10" pivotButton="0" quotePrefix="0" xfId="0"/>
    <xf numFmtId="0" fontId="10" fillId="0" borderId="6" pivotButton="0" quotePrefix="0" xfId="0"/>
    <xf numFmtId="0" fontId="10" fillId="0" borderId="0" applyAlignment="1" pivotButton="0" quotePrefix="0" xfId="0">
      <alignment horizontal="right"/>
    </xf>
    <xf numFmtId="0" fontId="10" fillId="0" borderId="7" applyAlignment="1" pivotButton="0" quotePrefix="0" xfId="0">
      <alignment horizontal="right"/>
    </xf>
    <xf numFmtId="169" fontId="20" fillId="0" borderId="0" applyAlignment="1" pivotButton="0" quotePrefix="0" xfId="0">
      <alignment horizontal="right"/>
    </xf>
    <xf numFmtId="166" fontId="3" fillId="0" borderId="11" pivotButton="0" quotePrefix="0" xfId="0"/>
    <xf numFmtId="173" fontId="7" fillId="0" borderId="7" applyAlignment="1" pivotButton="0" quotePrefix="0" xfId="0">
      <alignment horizontal="right"/>
    </xf>
    <xf numFmtId="173" fontId="8" fillId="0" borderId="7" pivotButton="0" quotePrefix="0" xfId="0"/>
    <xf numFmtId="172" fontId="8" fillId="0" borderId="12" pivotButton="0" quotePrefix="0" xfId="0"/>
    <xf numFmtId="173" fontId="8" fillId="0" borderId="12" pivotButton="0" quotePrefix="0" xfId="0"/>
    <xf numFmtId="173" fontId="8" fillId="0" borderId="0" pivotButton="0" quotePrefix="0" xfId="0"/>
    <xf numFmtId="173" fontId="3" fillId="0" borderId="11" pivotButton="0" quotePrefix="0" xfId="0"/>
    <xf numFmtId="9" fontId="5" fillId="5" borderId="0" pivotButton="0" quotePrefix="0" xfId="1"/>
    <xf numFmtId="9" fontId="21" fillId="5" borderId="1" applyAlignment="1" pivotButton="0" quotePrefix="0" xfId="0">
      <alignment horizontal="center"/>
    </xf>
    <xf numFmtId="0" fontId="8" fillId="5" borderId="0" pivotButton="0" quotePrefix="0" xfId="0"/>
    <xf numFmtId="170" fontId="8" fillId="0" borderId="0" pivotButton="0" quotePrefix="0" xfId="0"/>
    <xf numFmtId="0" fontId="3" fillId="0" borderId="0" pivotButton="0" quotePrefix="1" xfId="0"/>
    <xf numFmtId="9" fontId="7" fillId="7" borderId="0" pivotButton="0" quotePrefix="0" xfId="0"/>
    <xf numFmtId="0" fontId="8" fillId="0" borderId="10" pivotButton="0" quotePrefix="0" xfId="0"/>
    <xf numFmtId="0" fontId="14" fillId="0" borderId="11" pivotButton="0" quotePrefix="0" xfId="0"/>
    <xf numFmtId="165" fontId="14" fillId="0" borderId="11" pivotButton="0" quotePrefix="0" xfId="0"/>
    <xf numFmtId="174" fontId="3" fillId="0" borderId="0" pivotButton="0" quotePrefix="0" xfId="0"/>
    <xf numFmtId="165" fontId="3" fillId="0" borderId="0" applyAlignment="1" pivotButton="0" quotePrefix="0" xfId="0">
      <alignment horizontal="center"/>
    </xf>
    <xf numFmtId="0" fontId="8" fillId="0" borderId="0" pivotButton="0" quotePrefix="1" xfId="0"/>
    <xf numFmtId="0" fontId="22" fillId="0" borderId="0" pivotButton="0" quotePrefix="0" xfId="0"/>
    <xf numFmtId="0" fontId="23" fillId="0" borderId="0" pivotButton="0" quotePrefix="0" xfId="0"/>
    <xf numFmtId="0" fontId="23" fillId="0" borderId="0" applyAlignment="1" pivotButton="0" quotePrefix="0" xfId="0">
      <alignment horizontal="center"/>
    </xf>
    <xf numFmtId="0" fontId="22" fillId="0" borderId="0" applyAlignment="1" pivotButton="0" quotePrefix="0" xfId="0">
      <alignment horizontal="left"/>
    </xf>
    <xf numFmtId="9" fontId="22" fillId="0" borderId="0" pivotButton="0" quotePrefix="0" xfId="1"/>
    <xf numFmtId="0" fontId="24" fillId="0" borderId="0" pivotButton="0" quotePrefix="0" xfId="2"/>
    <xf numFmtId="0" fontId="24" fillId="0" borderId="0" applyAlignment="1" pivotButton="0" quotePrefix="0" xfId="2">
      <alignment horizontal="left"/>
    </xf>
    <xf numFmtId="0" fontId="24" fillId="7" borderId="0" pivotButton="0" quotePrefix="0" xfId="2"/>
    <xf numFmtId="0" fontId="18" fillId="8" borderId="2" applyAlignment="1" pivotButton="0" quotePrefix="0" xfId="0">
      <alignment horizontal="center"/>
    </xf>
    <xf numFmtId="0" fontId="15" fillId="7" borderId="0" applyAlignment="1" pivotButton="0" quotePrefix="0" xfId="0">
      <alignment horizontal="left"/>
    </xf>
    <xf numFmtId="175" fontId="10" fillId="5" borderId="0" pivotButton="0" quotePrefix="0" xfId="0"/>
    <xf numFmtId="175" fontId="10" fillId="0" borderId="0" pivotButton="0" quotePrefix="0" xfId="0"/>
    <xf numFmtId="0" fontId="10" fillId="0" borderId="0" applyAlignment="1" pivotButton="0" quotePrefix="0" xfId="0">
      <alignment horizontal="center"/>
    </xf>
    <xf numFmtId="176" fontId="7" fillId="0" borderId="7" applyAlignment="1" pivotButton="0" quotePrefix="0" xfId="0">
      <alignment horizontal="right"/>
    </xf>
    <xf numFmtId="177" fontId="3" fillId="0" borderId="0" pivotButton="0" quotePrefix="0" xfId="0"/>
    <xf numFmtId="178" fontId="3" fillId="0" borderId="0" pivotButton="0" quotePrefix="0" xfId="0"/>
    <xf numFmtId="179" fontId="3" fillId="0" borderId="0" pivotButton="0" quotePrefix="0" xfId="0"/>
    <xf numFmtId="180" fontId="3" fillId="0" borderId="0" pivotButton="0" quotePrefix="0" xfId="0"/>
    <xf numFmtId="172" fontId="3" fillId="0" borderId="5" pivotButton="0" quotePrefix="0" xfId="0"/>
    <xf numFmtId="172" fontId="8" fillId="0" borderId="4" pivotButton="0" quotePrefix="0" xfId="1"/>
    <xf numFmtId="172" fontId="11" fillId="0" borderId="0" pivotButton="0" quotePrefix="0" xfId="1"/>
    <xf numFmtId="172" fontId="8" fillId="0" borderId="0" pivotButton="0" quotePrefix="0" xfId="1"/>
    <xf numFmtId="172" fontId="12" fillId="0" borderId="0" pivotButton="0" quotePrefix="0" xfId="1"/>
    <xf numFmtId="181" fontId="3" fillId="0" borderId="0" applyAlignment="1" pivotButton="0" quotePrefix="0" xfId="0">
      <alignment horizontal="center"/>
    </xf>
    <xf numFmtId="172" fontId="7" fillId="5" borderId="0" pivotButton="0" quotePrefix="0" xfId="0"/>
    <xf numFmtId="178" fontId="5" fillId="5" borderId="0" pivotButton="0" quotePrefix="0" xfId="0"/>
    <xf numFmtId="172" fontId="12" fillId="7" borderId="0" pivotButton="0" quotePrefix="0" xfId="0"/>
    <xf numFmtId="178" fontId="5" fillId="0" borderId="0" pivotButton="0" quotePrefix="0" xfId="0"/>
    <xf numFmtId="164" fontId="3" fillId="0" borderId="0" pivotButton="0" quotePrefix="0" xfId="0"/>
    <xf numFmtId="0" fontId="25" fillId="0" borderId="0" pivotButton="0" quotePrefix="0" xfId="0"/>
    <xf numFmtId="174" fontId="23" fillId="0" borderId="0" pivotButton="0" quotePrefix="0" xfId="0"/>
    <xf numFmtId="165" fontId="3" fillId="0" borderId="0" applyAlignment="1" pivotButton="0" quotePrefix="0" xfId="0">
      <alignment horizontal="right"/>
    </xf>
    <xf numFmtId="9" fontId="3" fillId="0" borderId="0" applyAlignment="1" pivotButton="0" quotePrefix="0" xfId="0">
      <alignment horizontal="right"/>
    </xf>
    <xf numFmtId="165" fontId="3" fillId="0" borderId="4" applyAlignment="1" pivotButton="0" quotePrefix="0" xfId="0">
      <alignment horizontal="right"/>
    </xf>
    <xf numFmtId="178" fontId="3" fillId="0" borderId="4" applyAlignment="1" pivotButton="0" quotePrefix="0" xfId="0">
      <alignment horizontal="right"/>
    </xf>
    <xf numFmtId="0" fontId="6" fillId="0" borderId="0" applyAlignment="1" pivotButton="0" quotePrefix="0" xfId="0">
      <alignment horizontal="right"/>
    </xf>
    <xf numFmtId="182" fontId="3" fillId="0" borderId="0" applyAlignment="1" pivotButton="0" quotePrefix="0" xfId="0">
      <alignment horizontal="center"/>
    </xf>
    <xf numFmtId="178" fontId="11" fillId="0" borderId="0" pivotButton="0" quotePrefix="0" xfId="0"/>
    <xf numFmtId="0" fontId="9" fillId="3" borderId="0" applyAlignment="1" pivotButton="0" quotePrefix="0" xfId="0">
      <alignment horizontal="center"/>
    </xf>
    <xf numFmtId="166" fontId="7" fillId="0" borderId="7" applyAlignment="1" pivotButton="0" quotePrefix="0" xfId="0">
      <alignment horizontal="right"/>
    </xf>
    <xf numFmtId="166" fontId="8" fillId="0" borderId="0" pivotButton="0" quotePrefix="0" xfId="0"/>
    <xf numFmtId="172" fontId="3" fillId="0" borderId="5" pivotButton="0" quotePrefix="0" xfId="0"/>
    <xf numFmtId="165" fontId="8" fillId="0" borderId="0" pivotButton="0" quotePrefix="0" xfId="0"/>
    <xf numFmtId="176" fontId="7" fillId="0" borderId="7" applyAlignment="1" pivotButton="0" quotePrefix="0" xfId="0">
      <alignment horizontal="right"/>
    </xf>
    <xf numFmtId="169" fontId="8" fillId="0" borderId="0" pivotButton="0" quotePrefix="0" xfId="0"/>
    <xf numFmtId="168" fontId="8" fillId="0" borderId="0" pivotButton="0" quotePrefix="0" xfId="0"/>
    <xf numFmtId="169" fontId="20" fillId="0" borderId="0" applyAlignment="1" pivotButton="0" quotePrefix="0" xfId="0">
      <alignment horizontal="right"/>
    </xf>
    <xf numFmtId="164" fontId="7" fillId="0" borderId="7" applyAlignment="1" pivotButton="0" quotePrefix="0" xfId="0">
      <alignment horizontal="right"/>
    </xf>
    <xf numFmtId="172" fontId="8" fillId="0" borderId="0" pivotButton="0" quotePrefix="0" xfId="0"/>
    <xf numFmtId="173" fontId="8" fillId="0" borderId="0" pivotButton="0" quotePrefix="0" xfId="0"/>
    <xf numFmtId="173" fontId="8" fillId="0" borderId="7" pivotButton="0" quotePrefix="0" xfId="0"/>
    <xf numFmtId="166" fontId="3" fillId="0" borderId="11" pivotButton="0" quotePrefix="0" xfId="0"/>
    <xf numFmtId="173" fontId="3" fillId="0" borderId="11" pivotButton="0" quotePrefix="0" xfId="0"/>
    <xf numFmtId="173" fontId="8" fillId="0" borderId="12" pivotButton="0" quotePrefix="0" xfId="0"/>
    <xf numFmtId="165" fontId="7" fillId="4" borderId="2" applyAlignment="1" pivotButton="0" quotePrefix="0" xfId="0">
      <alignment horizontal="right"/>
    </xf>
    <xf numFmtId="166" fontId="3" fillId="7" borderId="11" pivotButton="0" quotePrefix="0" xfId="0"/>
    <xf numFmtId="173" fontId="7" fillId="0" borderId="7" applyAlignment="1" pivotButton="0" quotePrefix="0" xfId="0">
      <alignment horizontal="right"/>
    </xf>
    <xf numFmtId="170" fontId="7" fillId="0" borderId="7" pivotButton="0" quotePrefix="0" xfId="0"/>
    <xf numFmtId="170" fontId="7" fillId="0" borderId="9" pivotButton="0" quotePrefix="0" xfId="0"/>
    <xf numFmtId="175" fontId="10" fillId="5" borderId="0" pivotButton="0" quotePrefix="0" xfId="0"/>
    <xf numFmtId="175" fontId="10" fillId="0" borderId="0" pivotButton="0" quotePrefix="0" xfId="0"/>
    <xf numFmtId="172" fontId="7" fillId="5" borderId="0" pivotButton="0" quotePrefix="0" xfId="0"/>
    <xf numFmtId="172" fontId="12" fillId="7" borderId="0" pivotButton="0" quotePrefix="0" xfId="0"/>
    <xf numFmtId="173" fontId="3" fillId="0" borderId="0" applyAlignment="1" pivotButton="0" quotePrefix="0" xfId="0">
      <alignment horizontal="center"/>
    </xf>
    <xf numFmtId="178" fontId="5" fillId="5" borderId="0" pivotButton="0" quotePrefix="0" xfId="0"/>
    <xf numFmtId="178" fontId="11" fillId="0" borderId="0" pivotButton="0" quotePrefix="0" xfId="0"/>
    <xf numFmtId="178" fontId="5" fillId="0" borderId="0" pivotButton="0" quotePrefix="0" xfId="0"/>
    <xf numFmtId="166" fontId="7" fillId="5" borderId="0" pivotButton="0" quotePrefix="0" xfId="0"/>
    <xf numFmtId="166" fontId="3" fillId="0" borderId="0" pivotButton="0" quotePrefix="0" xfId="0"/>
    <xf numFmtId="173" fontId="12" fillId="0" borderId="0" applyAlignment="1" pivotButton="0" quotePrefix="0" xfId="0">
      <alignment horizontal="center"/>
    </xf>
    <xf numFmtId="166" fontId="12" fillId="0" borderId="0" pivotButton="0" quotePrefix="0" xfId="1"/>
    <xf numFmtId="165" fontId="8" fillId="0" borderId="0" pivotButton="0" quotePrefix="0" xfId="1"/>
    <xf numFmtId="166" fontId="8" fillId="0" borderId="4" pivotButton="0" quotePrefix="0" xfId="1"/>
    <xf numFmtId="170" fontId="8" fillId="0" borderId="0" pivotButton="0" quotePrefix="0" xfId="1"/>
    <xf numFmtId="165" fontId="3" fillId="0" borderId="0" pivotButton="0" quotePrefix="0" xfId="0"/>
    <xf numFmtId="170" fontId="3" fillId="0" borderId="4" pivotButton="0" quotePrefix="0" xfId="0"/>
    <xf numFmtId="170" fontId="3" fillId="0" borderId="0" pivotButton="0" quotePrefix="0" xfId="0"/>
    <xf numFmtId="171" fontId="3" fillId="0" borderId="0" pivotButton="0" quotePrefix="0" xfId="0"/>
    <xf numFmtId="170" fontId="12" fillId="0" borderId="0" pivotButton="0" quotePrefix="0" xfId="0"/>
    <xf numFmtId="170" fontId="8" fillId="0" borderId="0" pivotButton="0" quotePrefix="0" xfId="0"/>
    <xf numFmtId="165" fontId="14" fillId="0" borderId="0" pivotButton="0" quotePrefix="0" xfId="0"/>
    <xf numFmtId="172" fontId="3" fillId="0" borderId="0" pivotButton="0" quotePrefix="0" xfId="0"/>
    <xf numFmtId="165" fontId="12" fillId="0" borderId="0" pivotButton="0" quotePrefix="0" xfId="0"/>
    <xf numFmtId="164" fontId="3" fillId="0" borderId="0" pivotButton="0" quotePrefix="0" xfId="0"/>
    <xf numFmtId="164" fontId="3" fillId="0" borderId="0" applyAlignment="1" pivotButton="0" quotePrefix="0" xfId="0">
      <alignment horizontal="right"/>
    </xf>
    <xf numFmtId="170" fontId="7" fillId="4" borderId="2" pivotButton="0" quotePrefix="0" xfId="0"/>
    <xf numFmtId="164" fontId="7" fillId="4" borderId="2" applyAlignment="1" pivotButton="0" quotePrefix="0" xfId="0">
      <alignment horizontal="right"/>
    </xf>
    <xf numFmtId="165" fontId="3" fillId="0" borderId="0" applyAlignment="1" pivotButton="0" quotePrefix="0" xfId="0">
      <alignment horizontal="right"/>
    </xf>
    <xf numFmtId="173" fontId="3" fillId="0" borderId="0" pivotButton="0" quotePrefix="0" xfId="0"/>
    <xf numFmtId="165" fontId="3" fillId="0" borderId="4" applyAlignment="1" pivotButton="0" quotePrefix="0" xfId="0">
      <alignment horizontal="right"/>
    </xf>
    <xf numFmtId="178" fontId="3" fillId="0" borderId="4" applyAlignment="1" pivotButton="0" quotePrefix="0" xfId="0">
      <alignment horizontal="right"/>
    </xf>
    <xf numFmtId="180" fontId="3" fillId="0" borderId="0" pivotButton="0" quotePrefix="0" xfId="0"/>
    <xf numFmtId="174" fontId="3" fillId="0" borderId="0" pivotButton="0" quotePrefix="0" xfId="0"/>
    <xf numFmtId="174" fontId="23" fillId="0" borderId="0" pivotButton="0" quotePrefix="0" xfId="0"/>
    <xf numFmtId="182" fontId="3" fillId="0" borderId="0" applyAlignment="1" pivotButton="0" quotePrefix="0" xfId="0">
      <alignment horizontal="center"/>
    </xf>
    <xf numFmtId="178" fontId="3" fillId="0" borderId="0" pivotButton="0" quotePrefix="0" xfId="0"/>
    <xf numFmtId="170" fontId="3" fillId="0" borderId="7" pivotButton="0" quotePrefix="0" xfId="0"/>
    <xf numFmtId="164" fontId="3" fillId="0" borderId="7" pivotButton="0" quotePrefix="0" xfId="0"/>
    <xf numFmtId="179" fontId="3" fillId="0" borderId="0" pivotButton="0" quotePrefix="0" xfId="0"/>
    <xf numFmtId="165" fontId="14" fillId="0" borderId="11" pivotButton="0" quotePrefix="0" xfId="0"/>
    <xf numFmtId="172" fontId="8" fillId="0" borderId="12" pivotButton="0" quotePrefix="0" xfId="0"/>
    <xf numFmtId="165" fontId="3" fillId="5" borderId="4" pivotButton="0" quotePrefix="0" xfId="0"/>
    <xf numFmtId="172" fontId="3" fillId="5" borderId="4" pivotButton="0" quotePrefix="0" xfId="0"/>
    <xf numFmtId="172" fontId="3" fillId="5" borderId="5" pivotButton="0" quotePrefix="0" xfId="0"/>
    <xf numFmtId="170" fontId="3" fillId="5" borderId="9" pivotButton="0" quotePrefix="0" xfId="0"/>
    <xf numFmtId="181" fontId="3" fillId="0" borderId="0" applyAlignment="1" pivotButton="0" quotePrefix="0" xfId="0">
      <alignment horizontal="center"/>
    </xf>
    <xf numFmtId="172" fontId="12" fillId="0" borderId="0" pivotButton="0" quotePrefix="0" xfId="1"/>
    <xf numFmtId="172" fontId="8" fillId="0" borderId="0" pivotButton="0" quotePrefix="0" xfId="1"/>
    <xf numFmtId="172" fontId="8" fillId="0" borderId="4" pivotButton="0" quotePrefix="0" xfId="1"/>
    <xf numFmtId="172" fontId="11" fillId="0" borderId="0" pivotButton="0" quotePrefix="0" xfId="1"/>
    <xf numFmtId="165" fontId="3" fillId="0" borderId="0" applyAlignment="1" pivotButton="0" quotePrefix="0" xfId="0">
      <alignment horizontal="center"/>
    </xf>
    <xf numFmtId="177" fontId="3" fillId="0" borderId="0" pivotButton="0" quotePrefix="0" xfId="0"/>
    <xf numFmtId="0" fontId="26" fillId="0" borderId="0" applyAlignment="1" pivotButton="0" quotePrefix="0" xfId="0">
      <alignment horizontal="center"/>
    </xf>
    <xf numFmtId="0" fontId="27" fillId="0" borderId="0" pivotButton="0" quotePrefix="0" xfId="0"/>
    <xf numFmtId="0" fontId="28" fillId="9" borderId="14" applyAlignment="1" pivotButton="0" quotePrefix="0" xfId="0">
      <alignment horizontal="center" vertical="center" wrapText="1"/>
    </xf>
    <xf numFmtId="0" fontId="27" fillId="0" borderId="15" applyAlignment="1" pivotButton="0" quotePrefix="0" xfId="0">
      <alignment horizontal="left"/>
    </xf>
    <xf numFmtId="183" fontId="27" fillId="0" borderId="15" applyAlignment="1" pivotButton="0" quotePrefix="0" xfId="0">
      <alignment horizontal="right"/>
    </xf>
    <xf numFmtId="184" fontId="27" fillId="0" borderId="15" applyAlignment="1" pivotButton="0" quotePrefix="0" xfId="0">
      <alignment horizontal="right"/>
    </xf>
    <xf numFmtId="0" fontId="29" fillId="0" borderId="16" applyAlignment="1" pivotButton="0" quotePrefix="0" xfId="0">
      <alignment horizontal="left"/>
    </xf>
    <xf numFmtId="183" fontId="29" fillId="0" borderId="16" applyAlignment="1" pivotButton="0" quotePrefix="0" xfId="0">
      <alignment horizontal="right"/>
    </xf>
    <xf numFmtId="184" fontId="29" fillId="0" borderId="16" applyAlignment="1" pivotButton="0" quotePrefix="0" xfId="0">
      <alignment horizontal="right"/>
    </xf>
    <xf numFmtId="185" fontId="27" fillId="0" borderId="15" applyAlignment="1" pivotButton="0" quotePrefix="0" xfId="0">
      <alignment horizontal="right"/>
    </xf>
    <xf numFmtId="49" fontId="27" fillId="0" borderId="15" applyAlignment="1" pivotButton="0" quotePrefix="0" xfId="0">
      <alignment horizontal="right"/>
    </xf>
    <xf numFmtId="0" fontId="30" fillId="0" borderId="0" pivotButton="0" quotePrefix="0" xfId="0"/>
    <xf numFmtId="0" fontId="0" fillId="10" borderId="0" pivotButton="0" quotePrefix="0" xfId="0"/>
    <xf numFmtId="0" fontId="28" fillId="11" borderId="0" applyAlignment="1" pivotButton="0" quotePrefix="0" xfId="0">
      <alignment horizontal="center"/>
    </xf>
    <xf numFmtId="0" fontId="29" fillId="0" borderId="0" pivotButton="0" quotePrefix="0" xfId="0"/>
    <xf numFmtId="186" fontId="0" fillId="0" borderId="0" applyAlignment="1" pivotButton="0" quotePrefix="0" xfId="0">
      <alignment horizontal="right"/>
    </xf>
    <xf numFmtId="0" fontId="0" fillId="0" borderId="0" applyAlignment="1" pivotButton="0" quotePrefix="0" xfId="0">
      <alignment wrapText="1"/>
    </xf>
    <xf numFmtId="183" fontId="0" fillId="0" borderId="0" applyAlignment="1" pivotButton="0" quotePrefix="0" xfId="0">
      <alignment horizontal="right"/>
    </xf>
    <xf numFmtId="187" fontId="0" fillId="0" borderId="0" applyAlignment="1" pivotButton="0" quotePrefix="0" xfId="0">
      <alignment horizontal="right"/>
    </xf>
    <xf numFmtId="187" fontId="11" fillId="0" borderId="0" pivotButton="0" quotePrefix="0" xfId="1"/>
    <xf numFmtId="0" fontId="31" fillId="0" borderId="0" pivotButton="0" quotePrefix="0" xfId="0"/>
    <xf numFmtId="187" fontId="0" fillId="0" borderId="0" applyAlignment="1" pivotButton="0" quotePrefix="0" xfId="0">
      <alignment horizontal="right"/>
    </xf>
    <xf numFmtId="186" fontId="0" fillId="0" borderId="0" applyAlignment="1" pivotButton="0" quotePrefix="0" xfId="0">
      <alignment horizontal="right"/>
    </xf>
    <xf numFmtId="187" fontId="11" fillId="0" borderId="0" pivotButton="0" quotePrefix="0" xfId="1"/>
  </cellXfs>
  <cellStyles count="3">
    <cellStyle name="Normal" xfId="0" builtinId="0"/>
    <cellStyle name="Percent" xfId="1" builtinId="5"/>
    <cellStyle name="Hyperlink" xfId="2" builtinId="8"/>
  </cellStyles>
  <dxfs count="6">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
      <font>
        <i val="1"/>
        <color theme="1" tint="0.499984740745262"/>
      </font>
      <fill>
        <patternFill patternType="gray0625">
          <bgColor theme="1" tint="0.49998474074526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4.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5.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0.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1.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_rels/sheet12.xml.rels><Relationships xmlns="http://schemas.openxmlformats.org/package/2006/relationships"><Relationship Type="http://schemas.openxmlformats.org/officeDocument/2006/relationships/hyperlink" Target="https://www.gsb.stanford.edu/faculty-research/case-studies/2024-search-fund-study" TargetMode="External" Id="rId1"/><Relationship Type="http://schemas.openxmlformats.org/officeDocument/2006/relationships/hyperlink" Target="https://www.hklaw.com/en/insights/publications/2025/07/one-big-beautiful-bill-act-increases-tax-benefits-for-qualified-small" TargetMode="External" Id="rId2"/><Relationship Type="http://schemas.openxmlformats.org/officeDocument/2006/relationships/hyperlink" Target="https://som.yale.edu/sites/default/files/2025-06/Expanding%20EBITDA%20Margins%20in%20an%20ETA%20Business%20Don%E2%80%99t%20Expect%20It%2C%20but%20Don%E2%80%99t%20Lose%20Hope%2C%20Either.pdf" TargetMode="External" Id="rId3"/></Relationships>
</file>

<file path=xl/worksheets/sheet1.xml><?xml version="1.0" encoding="utf-8"?>
<worksheet xmlns="http://schemas.openxmlformats.org/spreadsheetml/2006/main">
  <sheetPr>
    <outlinePr summaryBelow="1" summaryRight="1"/>
    <pageSetUpPr/>
  </sheetPr>
  <dimension ref="A1:K30"/>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70" customWidth="1" min="5" max="5"/>
    <col width="34" customWidth="1" min="7" max="7"/>
    <col width="14" customWidth="1" min="8" max="8"/>
    <col width="14" customWidth="1" min="9" max="9"/>
    <col width="14" customWidth="1" min="10" max="10"/>
    <col width="70" customWidth="1" min="11" max="11"/>
  </cols>
  <sheetData>
    <row r="1">
      <c r="A1" s="267" t="inlineStr">
        <is>
          <t>Sidney Garber Offer Case Summary</t>
        </is>
      </c>
    </row>
    <row r="2">
      <c r="G2" s="276" t="inlineStr">
        <is>
          <t>Seller Liquidation Floor Bridge</t>
        </is>
      </c>
    </row>
    <row r="3">
      <c r="A3" t="inlineStr">
        <is>
          <t>Purpose</t>
        </is>
      </c>
      <c r="B3" t="inlineStr">
        <is>
          <t>Compare downside/base/upside offer structures against 35% investor IRR target and 25% searcher equity target. Related-party debt balance remains an open input.</t>
        </is>
      </c>
    </row>
    <row r="4">
      <c r="A4" t="inlineStr">
        <is>
          <t>Model basis</t>
        </is>
      </c>
      <c r="B4" t="inlineStr">
        <is>
          <t>Value tab copied into three case tabs. Original Value tab left intact. Charity/contributions remain added back while paused until initial debt is paid down.</t>
        </is>
      </c>
      <c r="G4" s="269" t="inlineStr">
        <is>
          <t>Input / Inference</t>
        </is>
      </c>
      <c r="H4" s="269" t="inlineStr">
        <is>
          <t>Low</t>
        </is>
      </c>
      <c r="I4" s="269" t="inlineStr">
        <is>
          <t>Base</t>
        </is>
      </c>
      <c r="J4" s="269" t="inlineStr">
        <is>
          <t>High</t>
        </is>
      </c>
      <c r="K4" s="269" t="inlineStr">
        <is>
          <t>Notes</t>
        </is>
      </c>
    </row>
    <row r="5">
      <c r="A5" t="inlineStr">
        <is>
          <t>Hold period</t>
        </is>
      </c>
      <c r="B5" t="inlineStr">
        <is>
          <t>5 years</t>
        </is>
      </c>
      <c r="G5" s="270" t="inlineStr">
        <is>
          <t>Gross cash per source image</t>
        </is>
      </c>
      <c r="H5" s="273" t="n">
        <v>5500</v>
      </c>
      <c r="I5" s="273" t="n">
        <v>5500</v>
      </c>
      <c r="J5" s="273" t="n">
        <v>5500</v>
      </c>
      <c r="K5" s="272" t="inlineStr">
        <is>
          <t>$000s; source image</t>
        </is>
      </c>
    </row>
    <row r="6">
      <c r="A6" t="inlineStr">
        <is>
          <t>Base multiple policy</t>
        </is>
      </c>
      <c r="B6" t="inlineStr">
        <is>
          <t>Base case assumes no multiple expansion: exit multiple equals entry multiple.</t>
        </is>
      </c>
      <c r="G6" s="270" t="inlineStr">
        <is>
          <t>Seller-estimated net cash after debt</t>
        </is>
      </c>
      <c r="H6" s="273" t="n">
        <v>3000</v>
      </c>
      <c r="I6" s="273" t="n">
        <v>3500</v>
      </c>
      <c r="J6" s="273" t="n">
        <v>4000</v>
      </c>
      <c r="K6" s="272" t="inlineStr">
        <is>
          <t>$000s; working assumption from seller discussion</t>
        </is>
      </c>
    </row>
    <row r="7">
      <c r="G7" s="270" t="inlineStr">
        <is>
          <t>Implied related-party debt</t>
        </is>
      </c>
      <c r="H7" s="273">
        <f>H5-H6</f>
        <v/>
      </c>
      <c r="I7" s="273">
        <f>I5-I6</f>
        <v/>
      </c>
      <c r="J7" s="273">
        <f>J5-J6</f>
        <v/>
      </c>
      <c r="K7" s="272" t="inlineStr">
        <is>
          <t>Derived only, not confirmed debt balance</t>
        </is>
      </c>
    </row>
    <row r="8">
      <c r="A8" t="inlineStr">
        <is>
          <t>Open seller-cash input</t>
        </is>
      </c>
      <c r="B8" t="inlineStr">
        <is>
          <t>Related-party debt balance is unknown. Seller expected to use excess cash to repay it before close.</t>
        </is>
      </c>
      <c r="G8" s="270" t="inlineStr">
        <is>
          <t>Seller liquidation floor</t>
        </is>
      </c>
      <c r="H8" s="273" t="n">
        <v>8000</v>
      </c>
      <c r="I8" s="273" t="n">
        <v>8000</v>
      </c>
      <c r="J8" s="273" t="n">
        <v>8000</v>
      </c>
      <c r="K8" s="272" t="inlineStr">
        <is>
          <t>$000s; total walk-away value</t>
        </is>
      </c>
    </row>
    <row r="9">
      <c r="A9" t="inlineStr">
        <is>
          <t>Manual input needed</t>
        </is>
      </c>
      <c r="B9" t="inlineStr">
        <is>
          <t>Enter related-party debt balance once known to calculate net cash retained by seller from company cash.</t>
        </is>
      </c>
      <c r="C9" t="inlineStr">
        <is>
          <t>Related-party debt balance</t>
        </is>
      </c>
      <c r="D9" s="268" t="inlineStr"/>
      <c r="G9" s="270" t="inlineStr">
        <is>
          <t>Implied inventory liquidation value</t>
        </is>
      </c>
      <c r="H9" s="273">
        <f>H8-H6</f>
        <v/>
      </c>
      <c r="I9" s="273">
        <f>I8-I6</f>
        <v/>
      </c>
      <c r="J9" s="273">
        <f>J8-J6</f>
        <v/>
      </c>
      <c r="K9" s="272" t="inlineStr">
        <is>
          <t>$000s; not book value</t>
        </is>
      </c>
    </row>
    <row r="10">
      <c r="G10" s="270" t="inlineStr">
        <is>
          <t>Inventory book value</t>
        </is>
      </c>
      <c r="H10" s="273" t="n">
        <v>13100</v>
      </c>
      <c r="I10" s="273" t="n">
        <v>13100</v>
      </c>
      <c r="J10" s="273" t="n">
        <v>13100</v>
      </c>
      <c r="K10" s="272" t="inlineStr">
        <is>
          <t>$000s; source image</t>
        </is>
      </c>
    </row>
    <row r="11">
      <c r="A11" s="269" t="inlineStr">
        <is>
          <t>Metric</t>
        </is>
      </c>
      <c r="B11" s="269" t="inlineStr">
        <is>
          <t>Downside</t>
        </is>
      </c>
      <c r="C11" s="269" t="inlineStr">
        <is>
          <t>Base</t>
        </is>
      </c>
      <c r="D11" s="269" t="inlineStr">
        <is>
          <t>Upside</t>
        </is>
      </c>
      <c r="E11" s="269" t="inlineStr">
        <is>
          <t>Notes</t>
        </is>
      </c>
      <c r="G11" s="270" t="inlineStr">
        <is>
          <t>Liquidation value as % of book</t>
        </is>
      </c>
      <c r="H11" s="277">
        <f>H9/H10</f>
        <v/>
      </c>
      <c r="I11" s="277">
        <f>I9/I10</f>
        <v/>
      </c>
      <c r="J11" s="277">
        <f>J9/J10</f>
        <v/>
      </c>
      <c r="K11" s="272" t="inlineStr">
        <is>
          <t>For orientation only; diligence later</t>
        </is>
      </c>
    </row>
    <row r="12">
      <c r="A12" s="270" t="inlineStr">
        <is>
          <t>Entry multiple</t>
        </is>
      </c>
      <c r="B12" s="278">
        <f>'Downside Case'!N15/'Downside Case'!E40</f>
        <v/>
      </c>
      <c r="C12" s="278">
        <f>'Base Case'!N15/'Base Case'!E40</f>
        <v/>
      </c>
      <c r="D12" s="278">
        <f>'Upside Case'!N15/'Upside Case'!E40</f>
        <v/>
      </c>
      <c r="E12" s="272" t="inlineStr">
        <is>
          <t>Scenario input</t>
        </is>
      </c>
    </row>
    <row r="13">
      <c r="A13" s="270" t="inlineStr">
        <is>
          <t>TEV / purchase price</t>
        </is>
      </c>
      <c r="B13" s="273">
        <f>'Downside Case'!N15</f>
        <v/>
      </c>
      <c r="C13" s="273">
        <f>'Base Case'!N15</f>
        <v/>
      </c>
      <c r="D13" s="273">
        <f>'Upside Case'!N15</f>
        <v/>
      </c>
      <c r="E13" s="272" t="inlineStr">
        <is>
          <t>$000s</t>
        </is>
      </c>
    </row>
    <row r="14">
      <c r="A14" s="270" t="inlineStr">
        <is>
          <t>2025 normalized EBITDA</t>
        </is>
      </c>
      <c r="B14" s="273">
        <f>'Downside Case'!E40</f>
        <v/>
      </c>
      <c r="C14" s="273">
        <f>'Base Case'!E40</f>
        <v/>
      </c>
      <c r="D14" s="273">
        <f>'Upside Case'!E40</f>
        <v/>
      </c>
      <c r="E14" s="272" t="inlineStr">
        <is>
          <t>$000s; sourced EBITDA plus charity/contribution add-back</t>
        </is>
      </c>
      <c r="G14" s="270" t="inlineStr">
        <is>
          <t>Modeling conclusion</t>
        </is>
      </c>
      <c r="H14" s="272" t="inlineStr">
        <is>
          <t>Use $4M-$5M implied inventory liquidation value, $4.5M midpoint, as seller floor bridge. Do not use $13.1M book inventory value as liquidation value. Keep related-party debt as diligence item until exact balance is confirmed.</t>
        </is>
      </c>
    </row>
    <row r="15">
      <c r="A15" s="270" t="inlineStr">
        <is>
          <t>Term debt x EBITDA</t>
        </is>
      </c>
      <c r="B15" s="278">
        <f>'Downside Case'!N20</f>
        <v/>
      </c>
      <c r="C15" s="278">
        <f>'Base Case'!N20</f>
        <v/>
      </c>
      <c r="D15" s="278">
        <f>'Upside Case'!N20</f>
        <v/>
      </c>
      <c r="E15" s="272" t="inlineStr">
        <is>
          <t>Scenario input</t>
        </is>
      </c>
    </row>
    <row r="16">
      <c r="A16" s="270" t="inlineStr">
        <is>
          <t>Seller note</t>
        </is>
      </c>
      <c r="B16" s="273">
        <f>'Downside Case'!N21</f>
        <v/>
      </c>
      <c r="C16" s="273">
        <f>'Base Case'!N21</f>
        <v/>
      </c>
      <c r="D16" s="273">
        <f>'Upside Case'!N21</f>
        <v/>
      </c>
      <c r="E16" s="272" t="inlineStr">
        <is>
          <t>$000s; standard model mechanics</t>
        </is>
      </c>
    </row>
    <row r="17">
      <c r="A17" s="270" t="inlineStr">
        <is>
          <t>Cash left in business</t>
        </is>
      </c>
      <c r="B17" s="273">
        <f>'Downside Case'!N22</f>
        <v/>
      </c>
      <c r="C17" s="273">
        <f>'Base Case'!N22</f>
        <v/>
      </c>
      <c r="D17" s="273">
        <f>'Upside Case'!N22</f>
        <v/>
      </c>
      <c r="E17" s="272" t="inlineStr">
        <is>
          <t>$000s</t>
        </is>
      </c>
    </row>
    <row r="18">
      <c r="A18" s="270" t="inlineStr">
        <is>
          <t>Exit multiple</t>
        </is>
      </c>
      <c r="B18" s="278">
        <f>'Downside Case'!N131</f>
        <v/>
      </c>
      <c r="C18" s="278">
        <f>'Base Case'!N131</f>
        <v/>
      </c>
      <c r="D18" s="278">
        <f>'Upside Case'!N131</f>
        <v/>
      </c>
      <c r="E18" s="272" t="inlineStr">
        <is>
          <t>Base = entry multiple</t>
        </is>
      </c>
    </row>
    <row r="19">
      <c r="A19" s="270" t="inlineStr">
        <is>
          <t>Year 1 revenue growth</t>
        </is>
      </c>
      <c r="B19" s="277">
        <f>'Downside Case'!F38</f>
        <v/>
      </c>
      <c r="C19" s="277">
        <f>'Base Case'!F38</f>
        <v/>
      </c>
      <c r="D19" s="277">
        <f>'Upside Case'!F38</f>
        <v/>
      </c>
      <c r="E19" s="272" t="inlineStr">
        <is>
          <t>Assumption</t>
        </is>
      </c>
    </row>
    <row r="20">
      <c r="A20" s="270" t="inlineStr">
        <is>
          <t>Year 1 EBITDA margin</t>
        </is>
      </c>
      <c r="B20" s="277">
        <f>'Downside Case'!F41</f>
        <v/>
      </c>
      <c r="C20" s="277">
        <f>'Base Case'!F41</f>
        <v/>
      </c>
      <c r="D20" s="277">
        <f>'Upside Case'!F41</f>
        <v/>
      </c>
      <c r="E20" s="272" t="inlineStr">
        <is>
          <t>Assumption</t>
        </is>
      </c>
    </row>
    <row r="21">
      <c r="A21" s="270" t="inlineStr">
        <is>
          <t>Investor IRR</t>
        </is>
      </c>
      <c r="B21" s="277">
        <f>'Downside Case'!J146</f>
        <v/>
      </c>
      <c r="C21" s="277">
        <f>'Base Case'!J146</f>
        <v/>
      </c>
      <c r="D21" s="277">
        <f>'Upside Case'!J146</f>
        <v/>
      </c>
      <c r="E21" s="272" t="inlineStr">
        <is>
          <t>Target &gt;= 35% for full performance vest</t>
        </is>
      </c>
    </row>
    <row r="22">
      <c r="A22" s="270" t="inlineStr">
        <is>
          <t>Investor MOIC</t>
        </is>
      </c>
      <c r="B22" s="273">
        <f>'Downside Case'!J147</f>
        <v/>
      </c>
      <c r="C22" s="273">
        <f>'Base Case'!J147</f>
        <v/>
      </c>
      <c r="D22" s="273">
        <f>'Upside Case'!J147</f>
        <v/>
      </c>
      <c r="E22" s="272" t="inlineStr">
        <is>
          <t>Formula output</t>
        </is>
      </c>
    </row>
    <row r="23">
      <c r="A23" s="270" t="inlineStr">
        <is>
          <t>Searcher proceeds</t>
        </is>
      </c>
      <c r="B23" s="273">
        <f>'Downside Case'!J148</f>
        <v/>
      </c>
      <c r="C23" s="273">
        <f>'Base Case'!J148</f>
        <v/>
      </c>
      <c r="D23" s="273">
        <f>'Upside Case'!J148</f>
        <v/>
      </c>
      <c r="E23" s="272" t="inlineStr">
        <is>
          <t>$000s formula output</t>
        </is>
      </c>
    </row>
    <row r="24">
      <c r="A24" s="270" t="inlineStr">
        <is>
          <t>Total searcher common equity target</t>
        </is>
      </c>
      <c r="B24" s="277">
        <f>'Downside Case'!D102</f>
        <v/>
      </c>
      <c r="C24" s="277">
        <f>'Base Case'!D102</f>
        <v/>
      </c>
      <c r="D24" s="277">
        <f>'Upside Case'!D102</f>
        <v/>
      </c>
      <c r="E24" s="272" t="inlineStr">
        <is>
          <t>Target = 25%</t>
        </is>
      </c>
    </row>
    <row r="25">
      <c r="A25" s="270" t="inlineStr">
        <is>
          <t>Max IRR hurdle</t>
        </is>
      </c>
      <c r="B25" s="277">
        <f>'Downside Case'!D111</f>
        <v/>
      </c>
      <c r="C25" s="277">
        <f>'Base Case'!D111</f>
        <v/>
      </c>
      <c r="D25" s="277">
        <f>'Upside Case'!D111</f>
        <v/>
      </c>
      <c r="E25" s="272" t="inlineStr">
        <is>
          <t>Full performance vest at 35%</t>
        </is>
      </c>
    </row>
    <row r="26">
      <c r="A26" s="270" t="inlineStr">
        <is>
          <t>Cash in business before debt payoff</t>
        </is>
      </c>
      <c r="B26" s="273" t="n">
        <v>5500</v>
      </c>
      <c r="C26" s="273" t="n">
        <v>5500</v>
      </c>
      <c r="D26" s="273" t="n">
        <v>5500</v>
      </c>
      <c r="E26" s="272" t="inlineStr">
        <is>
          <t>$000s gross cash from source image; seller likely mentally netting related-party debt to $3M-$4M cash</t>
        </is>
      </c>
    </row>
    <row r="27">
      <c r="A27" s="270" t="inlineStr">
        <is>
          <t>Less related-party debt balance</t>
        </is>
      </c>
      <c r="B27" s="273">
        <f>$D$9</f>
        <v/>
      </c>
      <c r="C27" s="273">
        <f>$D$9</f>
        <v/>
      </c>
      <c r="D27" s="273">
        <f>$D$9</f>
        <v/>
      </c>
      <c r="E27" s="272" t="inlineStr">
        <is>
          <t>Exact balance still missing; bridge implies ~$1.5M-$2.5M but do not treat as confirmed</t>
        </is>
      </c>
    </row>
    <row r="28">
      <c r="A28" s="270" t="inlineStr">
        <is>
          <t>Less cash left in business</t>
        </is>
      </c>
      <c r="B28" s="273">
        <f>'Downside Case'!N22</f>
        <v/>
      </c>
      <c r="C28" s="273">
        <f>'Base Case'!N22</f>
        <v/>
      </c>
      <c r="D28" s="273">
        <f>'Upside Case'!N22</f>
        <v/>
      </c>
      <c r="E28" s="272" t="inlineStr">
        <is>
          <t>$000s</t>
        </is>
      </c>
    </row>
    <row r="29">
      <c r="A29" s="270" t="inlineStr">
        <is>
          <t>Estimated excess cash to seller</t>
        </is>
      </c>
      <c r="B29" s="273">
        <f>IF($D$9="","Missing debt balance",5500-B26-B27)</f>
        <v/>
      </c>
      <c r="C29" s="273">
        <f>IF($D$9="","Missing debt balance",5500-C26-C27)</f>
        <v/>
      </c>
      <c r="D29" s="273">
        <f>IF($D$9="","Missing debt balance",5500-D26-D27)</f>
        <v/>
      </c>
      <c r="E29" s="272" t="inlineStr">
        <is>
          <t>Not included in TEV; seller cash proceeds after debt payoff</t>
        </is>
      </c>
    </row>
    <row r="30">
      <c r="A30" s="270" t="inlineStr">
        <is>
          <t>Stated seller liquidation floor</t>
        </is>
      </c>
      <c r="B30" s="273" t="n">
        <v>8000</v>
      </c>
      <c r="C30" s="273" t="n">
        <v>8000</v>
      </c>
      <c r="D30" s="273" t="n">
        <v>8000</v>
      </c>
      <c r="E30" s="272" t="inlineStr">
        <is>
          <t>$000s; seller-estimated total walk-away value, including net cash after debt plus inventory liquidation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0" customWidth="1" min="1" max="1"/>
    <col width="110" customWidth="1" min="2" max="2"/>
    <col width="18" customWidth="1" min="3" max="3"/>
    <col width="80" customWidth="1" min="4" max="4"/>
  </cols>
  <sheetData>
    <row r="1">
      <c r="A1" t="inlineStr">
        <is>
          <t>Purpose</t>
        </is>
      </c>
      <c r="B1" t="inlineStr">
        <is>
          <t>Document the limited source-backed updates made from photo-transcribed financials.</t>
        </is>
      </c>
    </row>
    <row r="2">
      <c r="A2" t="inlineStr">
        <is>
          <t>Selected model tab</t>
        </is>
      </c>
      <c r="B2" t="inlineStr">
        <is>
          <t>Value</t>
        </is>
      </c>
    </row>
    <row r="3">
      <c r="A3" t="inlineStr">
        <is>
          <t>Reason</t>
        </is>
      </c>
      <c r="B3" t="inlineStr">
        <is>
          <t>Sidney Garber should be underwritten as an EBITDA / cash-flow deal, not an ARR growth-multiple deal. Growth tab left untouched.</t>
        </is>
      </c>
    </row>
    <row r="4">
      <c r="A4" t="inlineStr">
        <is>
          <t>Source basis</t>
        </is>
      </c>
      <c r="B4" t="inlineStr">
        <is>
          <t>Only values visible in the four uploaded financial-statement photos and transcribed workbook were used.</t>
        </is>
      </c>
    </row>
    <row r="5">
      <c r="A5" t="inlineStr">
        <is>
          <t>No invented data</t>
        </is>
      </c>
      <c r="B5" t="inlineStr">
        <is>
          <t>No missing model inputs were filled where source data was unavailable.</t>
        </is>
      </c>
    </row>
    <row r="6"/>
    <row r="7">
      <c r="A7" t="inlineStr">
        <is>
          <t>Cell</t>
        </is>
      </c>
      <c r="B7" t="inlineStr">
        <is>
          <t>Tab</t>
        </is>
      </c>
      <c r="C7" t="inlineStr">
        <is>
          <t>Value</t>
        </is>
      </c>
      <c r="D7" t="inlineStr">
        <is>
          <t>Source</t>
        </is>
      </c>
    </row>
    <row r="8">
      <c r="A8" t="inlineStr">
        <is>
          <t>C37</t>
        </is>
      </c>
      <c r="B8" t="inlineStr">
        <is>
          <t>Value</t>
        </is>
      </c>
      <c r="C8" t="n">
        <v>12300</v>
      </c>
      <c r="D8" t="inlineStr">
        <is>
          <t>2024 Income Statement: 2023 Actual Core Sales</t>
        </is>
      </c>
    </row>
    <row r="9">
      <c r="A9" t="inlineStr">
        <is>
          <t>D37</t>
        </is>
      </c>
      <c r="B9" t="inlineStr">
        <is>
          <t>Value</t>
        </is>
      </c>
      <c r="C9" t="n">
        <v>18117</v>
      </c>
      <c r="D9" t="inlineStr">
        <is>
          <t>2024/2025 Income Statement: 2024 Actual Core Sales</t>
        </is>
      </c>
    </row>
    <row r="10">
      <c r="A10" t="inlineStr">
        <is>
          <t>E37</t>
        </is>
      </c>
      <c r="B10" t="inlineStr">
        <is>
          <t>Value</t>
        </is>
      </c>
      <c r="C10" t="n">
        <v>18575</v>
      </c>
      <c r="D10" t="inlineStr">
        <is>
          <t>2025 Income Statement: 2025 Actual Core Sales</t>
        </is>
      </c>
    </row>
    <row r="11">
      <c r="A11" t="inlineStr">
        <is>
          <t>C40</t>
        </is>
      </c>
      <c r="B11" t="inlineStr">
        <is>
          <t>Value</t>
        </is>
      </c>
      <c r="C11" t="n">
        <v>1190</v>
      </c>
      <c r="D11" t="inlineStr">
        <is>
          <t>2024 Income Statement / 2024 Cash Flow: 2023 Actual EBITDA</t>
        </is>
      </c>
    </row>
    <row r="12">
      <c r="A12" t="inlineStr">
        <is>
          <t>D40</t>
        </is>
      </c>
      <c r="B12" t="inlineStr">
        <is>
          <t>Value</t>
        </is>
      </c>
      <c r="C12" t="n">
        <v>3224</v>
      </c>
      <c r="D12" t="inlineStr">
        <is>
          <t>2024 Income Statement / 2025 Cash Flow: 2024 Actual EBITDA</t>
        </is>
      </c>
    </row>
    <row r="13">
      <c r="A13" t="inlineStr">
        <is>
          <t>E40</t>
        </is>
      </c>
      <c r="B13" t="inlineStr">
        <is>
          <t>Value</t>
        </is>
      </c>
      <c r="C13" t="n">
        <v>3363</v>
      </c>
      <c r="D13" t="inlineStr">
        <is>
          <t>2025 Income Statement / 2025 Cash Flow: 2025 Actual EBITDA</t>
        </is>
      </c>
    </row>
    <row r="14"/>
    <row r="15">
      <c r="A15" t="inlineStr">
        <is>
          <t>Open model inputs not populated</t>
        </is>
      </c>
      <c r="B15" t="inlineStr">
        <is>
          <t>Purchase price / TEV, normalized EBITDA add-backs, debt terms, seller financing, rollover, earnout, working-capital peg, inventory treatment, tax treatment, owner compensation normalization, forecast growth, forecast margins, capex, NWC needs.</t>
        </is>
      </c>
    </row>
    <row r="16"/>
    <row r="17">
      <c r="A17" t="inlineStr">
        <is>
          <t>Updated assumption</t>
        </is>
      </c>
      <c r="B17" t="inlineStr">
        <is>
          <t>Charity / contributions held post-close</t>
        </is>
      </c>
    </row>
    <row r="18">
      <c r="A18" t="inlineStr">
        <is>
          <t>Rationale</t>
        </is>
      </c>
      <c r="B18" t="inlineStr">
        <is>
          <t>Owner-directed charitable giving is not an obligation. For offer modeling, assume contributions are paused while initial acquisition debt is paid down, then restarted later at a smaller legacy-compatible level.</t>
        </is>
      </c>
    </row>
    <row r="19">
      <c r="A19" t="inlineStr">
        <is>
          <t>Model impact</t>
        </is>
      </c>
      <c r="B19" t="inlineStr">
        <is>
          <t>Value tab row 40 changed from reported GAAP EBITDA to Normalized EBITDA by adding back visible charity/contribution amounts from source financials.</t>
        </is>
      </c>
    </row>
    <row r="20">
      <c r="A20" t="inlineStr">
        <is>
          <t>2023 add-back</t>
        </is>
      </c>
      <c r="B20" t="inlineStr">
        <is>
          <t>339</t>
        </is>
      </c>
    </row>
    <row r="21">
      <c r="A21" t="inlineStr">
        <is>
          <t>2024 add-back</t>
        </is>
      </c>
      <c r="B21" t="inlineStr">
        <is>
          <t>558</t>
        </is>
      </c>
    </row>
    <row r="22">
      <c r="A22" t="inlineStr">
        <is>
          <t>2025 add-back</t>
        </is>
      </c>
      <c r="B22" t="inlineStr">
        <is>
          <t>601</t>
        </is>
      </c>
    </row>
    <row r="23">
      <c r="A23" t="inlineStr">
        <is>
          <t>Open diligence</t>
        </is>
      </c>
      <c r="B23" t="inlineStr">
        <is>
          <t>Confirm legal/nonprofit commitments, donor expectations, tax treatment, and timing/amount of any restarted charitable program.</t>
        </is>
      </c>
    </row>
    <row r="24"/>
    <row r="25">
      <c r="A25" t="inlineStr">
        <is>
          <t>Scenario cases added</t>
        </is>
      </c>
      <c r="B25" t="inlineStr">
        <is>
          <t>V4 adds Downside Case, Base Case, Upside Case, and Case Summary. Original Value tab remains intact.</t>
        </is>
      </c>
    </row>
    <row r="26">
      <c r="A26" t="inlineStr">
        <is>
          <t>Case purpose</t>
        </is>
      </c>
      <c r="B26" t="inlineStr">
        <is>
          <t>Solve offer range against 35% investor IRR target and 25% searcher equity target while beating seller stated ~$8M liquidation alternative.</t>
        </is>
      </c>
    </row>
    <row r="27">
      <c r="A27" t="inlineStr">
        <is>
          <t>Important open input</t>
        </is>
      </c>
      <c r="B27" t="inlineStr">
        <is>
          <t>Related-party debt balance remains missing; Case Summary leaves this blank rather than assuming a debt payoff amount.</t>
        </is>
      </c>
    </row>
    <row r="28"/>
    <row r="29">
      <c r="A29" t="inlineStr">
        <is>
          <t>V5 liquidation bridge update</t>
        </is>
      </c>
      <c r="B29" t="inlineStr">
        <is>
          <t>Added seller liquidation floor bridge to Case Summary: $8M walk-away value equals estimated $3M-$4M net cash after debt plus implied $4M-$5M inventory liquidation value. $13.1M remains book inventory value, not liquidation value.</t>
        </is>
      </c>
    </row>
    <row r="30">
      <c r="A30" t="inlineStr">
        <is>
          <t>Debt treatment</t>
        </is>
      </c>
      <c r="B30" t="inlineStr">
        <is>
          <t>Related-party debt must be cleared before close from company cash. Exact debt balance remains a required seller question; bridge implies ~$1.5M-$2.5M but this is not a confirmed liability balance.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FD149"/>
  <sheetViews>
    <sheetView showGridLines="0" zoomScale="140" zoomScaleNormal="14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21"/>
    <col width="8.6640625" customWidth="1" style="18" min="22"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8500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2684</v>
      </c>
      <c r="D34" s="205" t="n">
        <v>3720</v>
      </c>
      <c r="E34" s="205" t="n">
        <v>4750</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0.2289473684210526</v>
      </c>
      <c r="G35" s="209" t="n">
        <v>0.2671306209850106</v>
      </c>
      <c r="H35" s="209" t="n">
        <v>0.2901563160118292</v>
      </c>
      <c r="I35" s="209" t="n">
        <v>0.307629838234331</v>
      </c>
      <c r="J35" s="209" t="n">
        <v>0.3118125632318618</v>
      </c>
      <c r="L35" s="156" t="n"/>
    </row>
    <row r="36">
      <c r="C36" s="203" t="n"/>
      <c r="D36" s="208" t="n"/>
      <c r="E36" s="208" t="n"/>
      <c r="F36" s="210" t="n"/>
      <c r="G36" s="210" t="n"/>
      <c r="H36" s="210" t="n"/>
      <c r="I36" s="210" t="n"/>
      <c r="J36" s="210" t="n"/>
      <c r="L36" s="156" t="n"/>
    </row>
    <row r="37">
      <c r="B37" s="18" t="inlineStr">
        <is>
          <t>GAAP Revenue</t>
        </is>
      </c>
      <c r="C37" s="211" t="n">
        <v>2123</v>
      </c>
      <c r="D37" s="211" t="n">
        <v>3202</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0.25</v>
      </c>
      <c r="G38" s="60" t="n">
        <v>0.25</v>
      </c>
      <c r="H38" s="60" t="n">
        <v>0.2799999999999998</v>
      </c>
      <c r="I38" s="60" t="n">
        <v>0.3</v>
      </c>
      <c r="J38" s="60" t="n">
        <v>0.3099999999999998</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465</v>
      </c>
      <c r="D40" s="211" t="n">
        <v>689</v>
      </c>
      <c r="E40" s="211" t="n">
        <v>1256</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0.22</v>
      </c>
      <c r="G41" s="60" t="n">
        <v>0.22</v>
      </c>
      <c r="H41" s="60" t="n">
        <v>0.25</v>
      </c>
      <c r="I41" s="60" t="n">
        <v>0.28</v>
      </c>
      <c r="J41" s="60" t="n">
        <v>0.29</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16">
        <f>F45+F47</f>
        <v/>
      </c>
      <c r="G48" s="216">
        <f>G45+G47</f>
        <v/>
      </c>
      <c r="H48" s="216">
        <f>H45+H47</f>
        <v/>
      </c>
      <c r="I48" s="216">
        <f>I45+I47</f>
        <v/>
      </c>
      <c r="J48" s="216">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17">
        <f>-$E$50*F48</f>
        <v/>
      </c>
      <c r="G50" s="217">
        <f>-$E$50*G48</f>
        <v/>
      </c>
      <c r="H50" s="217">
        <f>-$E$50*H48</f>
        <v/>
      </c>
      <c r="I50" s="217">
        <f>-$E$50*I48</f>
        <v/>
      </c>
      <c r="J50" s="217">
        <f>-$E$50*J48</f>
        <v/>
      </c>
      <c r="N50" s="21" t="n"/>
      <c r="O50" s="145" t="n"/>
      <c r="P50" s="75" t="n"/>
      <c r="Q50" s="75" t="n"/>
      <c r="R50" s="75" t="n"/>
      <c r="S50" s="75" t="n"/>
      <c r="T50" s="75" t="n"/>
      <c r="U50" s="75" t="n"/>
      <c r="XFD50" s="60" t="n"/>
    </row>
    <row r="51">
      <c r="B51" s="65" t="inlineStr">
        <is>
          <t>Net Income</t>
        </is>
      </c>
      <c r="C51" s="66" t="n"/>
      <c r="D51" s="66" t="n"/>
      <c r="E51" s="132" t="n"/>
      <c r="F51" s="216">
        <f>F48+F50</f>
        <v/>
      </c>
      <c r="G51" s="216">
        <f>G48+G50</f>
        <v/>
      </c>
      <c r="H51" s="216">
        <f>H48+H50</f>
        <v/>
      </c>
      <c r="I51" s="216">
        <f>I48+I50</f>
        <v/>
      </c>
      <c r="J51" s="216">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12">
        <f>F51</f>
        <v/>
      </c>
      <c r="G55" s="212">
        <f>G51</f>
        <v/>
      </c>
      <c r="H55" s="212">
        <f>H51</f>
        <v/>
      </c>
      <c r="I55" s="212">
        <f>I51</f>
        <v/>
      </c>
      <c r="J55" s="212">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N112" s="86" t="n"/>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L114" s="90" t="n"/>
      <c r="O114" s="145" t="n"/>
    </row>
    <row r="115">
      <c r="O115" s="145" t="n"/>
    </row>
    <row r="116">
      <c r="B116" s="76" t="inlineStr">
        <is>
          <t>Preferred Equity</t>
        </is>
      </c>
      <c r="M116" s="235" t="n"/>
      <c r="O116" s="145" t="n"/>
    </row>
    <row r="117">
      <c r="B117" s="18" t="inlineStr">
        <is>
          <t>Beginning Balance</t>
        </is>
      </c>
      <c r="F117" s="220">
        <f>C23+(H105*H104)</f>
        <v/>
      </c>
      <c r="G117" s="220">
        <f>F120</f>
        <v/>
      </c>
      <c r="H117" s="220">
        <f>G120</f>
        <v/>
      </c>
      <c r="I117" s="220">
        <f>H120</f>
        <v/>
      </c>
      <c r="J117" s="220">
        <f>I120</f>
        <v/>
      </c>
      <c r="M117" s="220" t="n"/>
      <c r="N117" s="236" t="n"/>
      <c r="O117" s="237" t="n"/>
    </row>
    <row r="118" ht="10" customHeight="1">
      <c r="B118" s="18" t="inlineStr">
        <is>
          <t>(+) Preferred Return</t>
        </is>
      </c>
      <c r="D118" s="83" t="n">
        <v>0.08</v>
      </c>
      <c r="F118" s="226">
        <f>F117*$D$118</f>
        <v/>
      </c>
      <c r="G118" s="218">
        <f>G117*$D$118</f>
        <v/>
      </c>
      <c r="H118" s="218">
        <f>H117*$D$118</f>
        <v/>
      </c>
      <c r="I118" s="218">
        <f>I117*$D$118</f>
        <v/>
      </c>
      <c r="J118" s="218">
        <f>J117*$D$118</f>
        <v/>
      </c>
      <c r="L118" s="238" t="n"/>
      <c r="M118" s="239"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3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H102 N23 N26 N132" showDropDown="0" showInputMessage="1" showErrorMessage="1" allowBlank="1" type="list">
      <formula1>"0,1"</formula1>
    </dataValidation>
    <dataValidation sqref="N16" showDropDown="0" showInputMessage="1" showErrorMessage="1" allowBlank="1" type="list">
      <formula1>"EBITDA, ARR"</formula1>
    </dataValidation>
    <dataValidation sqref="N24" showDropDown="0" showInputMessage="1" showErrorMessage="1" allowBlank="1" type="list">
      <formula1>"LLC, C-corp"</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4.xml><?xml version="1.0" encoding="utf-8"?>
<worksheet xmlns="http://schemas.openxmlformats.org/spreadsheetml/2006/main">
  <sheetPr>
    <outlinePr summaryBelow="1" summaryRight="1"/>
    <pageSetUpPr/>
  </sheetPr>
  <dimension ref="A1:XFD149"/>
  <sheetViews>
    <sheetView showGridLines="0" zoomScaleNormal="10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t="n">
        <v>15000</v>
      </c>
      <c r="O15" s="144" t="inlineStr">
        <is>
          <t>*Refer to the Search Fund Study to understand median multiples, revenue, EBITDA, and more.</t>
        </is>
      </c>
    </row>
    <row r="16">
      <c r="B16" s="33" t="inlineStr">
        <is>
          <t>Term Debt</t>
        </is>
      </c>
      <c r="C16" s="184">
        <f>D16*N17</f>
        <v/>
      </c>
      <c r="D16" s="35">
        <f>N20</f>
        <v/>
      </c>
      <c r="E16" s="13">
        <f>C16/C25</f>
        <v/>
      </c>
      <c r="F16" s="36" t="n"/>
      <c r="G16" s="37" t="inlineStr">
        <is>
          <t>TEV</t>
        </is>
      </c>
      <c r="H16" s="184">
        <f>N15</f>
        <v/>
      </c>
      <c r="I16" s="35">
        <f>H16/$N$17</f>
        <v/>
      </c>
      <c r="J16" s="13">
        <f>H16/$H$25</f>
        <v/>
      </c>
      <c r="L16" s="3" t="inlineStr">
        <is>
          <t>Entry Multiple</t>
        </is>
      </c>
      <c r="N16" s="11" t="inlineStr">
        <is>
          <t>ARR</t>
        </is>
      </c>
    </row>
    <row r="17">
      <c r="B17" s="38" t="inlineStr">
        <is>
          <t>Seller Debt</t>
        </is>
      </c>
      <c r="C17" s="39">
        <f>N21</f>
        <v/>
      </c>
      <c r="D17" s="40">
        <f>C17/$N$17</f>
        <v/>
      </c>
      <c r="E17" s="14">
        <f>C17/C25</f>
        <v/>
      </c>
      <c r="F17" s="36" t="n"/>
      <c r="G17" s="37" t="inlineStr">
        <is>
          <t>Fees</t>
        </is>
      </c>
      <c r="H17" s="3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0.5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350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5000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2138</v>
      </c>
      <c r="D34" s="205" t="n">
        <v>3392</v>
      </c>
      <c r="E34" s="205" t="n">
        <v>5078</v>
      </c>
      <c r="F34" s="206">
        <f>E34*(1+F35)</f>
        <v/>
      </c>
      <c r="G34" s="206">
        <f>F34*(1+G35)</f>
        <v/>
      </c>
      <c r="H34" s="206">
        <f>G34*(1+H35)</f>
        <v/>
      </c>
      <c r="I34" s="206">
        <f>H34*(1+I35)</f>
        <v/>
      </c>
      <c r="J34" s="206">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0.4185703032690036</v>
      </c>
      <c r="G35" s="209" t="n">
        <v>0.386909141389602</v>
      </c>
      <c r="H35" s="209" t="n">
        <v>0.354</v>
      </c>
      <c r="I35" s="209" t="n">
        <v>0.3395541079411197</v>
      </c>
      <c r="J35" s="209" t="n">
        <v>0.2879373541046848</v>
      </c>
      <c r="L35" s="156" t="n"/>
    </row>
    <row r="36">
      <c r="C36" s="203" t="n"/>
      <c r="D36" s="208" t="n"/>
      <c r="E36" s="208" t="n"/>
      <c r="F36" s="210" t="n"/>
      <c r="G36" s="210" t="n"/>
      <c r="H36" s="210" t="n"/>
      <c r="I36" s="210" t="n"/>
      <c r="J36" s="210" t="n"/>
      <c r="L36" s="156" t="n"/>
    </row>
    <row r="37">
      <c r="B37" s="18" t="inlineStr">
        <is>
          <t>GAAP Revenue</t>
        </is>
      </c>
      <c r="C37" s="211" t="n">
        <v>1657</v>
      </c>
      <c r="D37" s="211" t="n">
        <v>2765</v>
      </c>
      <c r="E37" s="211" t="n">
        <v>4235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0.45</v>
      </c>
      <c r="G38" s="60" t="n">
        <v>0.4</v>
      </c>
      <c r="H38" s="60" t="n">
        <v>0.36</v>
      </c>
      <c r="I38" s="60" t="n">
        <v>0.34</v>
      </c>
      <c r="J38" s="60" t="n">
        <v>0.31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GAAP EBITDA</t>
        </is>
      </c>
      <c r="C40" s="211" t="n">
        <v>-34</v>
      </c>
      <c r="D40" s="211" t="n">
        <v>105</v>
      </c>
      <c r="E40" s="211" t="n">
        <v>405</v>
      </c>
      <c r="F40" s="212">
        <f>F41*F37</f>
        <v/>
      </c>
      <c r="G40" s="212">
        <f>G41*G37</f>
        <v/>
      </c>
      <c r="H40" s="212">
        <f>H41*H37</f>
        <v/>
      </c>
      <c r="I40" s="212">
        <f>I41*I37</f>
        <v/>
      </c>
      <c r="J40" s="212">
        <f>J41*J37</f>
        <v/>
      </c>
      <c r="L40" s="207">
        <f>IFERROR(_xlfn.RRI(2,C40,E40),"N/A")</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0.03</v>
      </c>
      <c r="G41" s="60" t="n">
        <v>0.05</v>
      </c>
      <c r="H41" s="60" t="n">
        <v>0.114</v>
      </c>
      <c r="I41" s="60" t="n">
        <v>0.12</v>
      </c>
      <c r="J41" s="60" t="n">
        <v>0.14</v>
      </c>
      <c r="L41" s="249" t="n"/>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50">
        <f>F40</f>
        <v/>
      </c>
      <c r="G43" s="250">
        <f>G40</f>
        <v/>
      </c>
      <c r="H43" s="250">
        <f>H40</f>
        <v/>
      </c>
      <c r="I43" s="250">
        <f>I40</f>
        <v/>
      </c>
      <c r="J43" s="250">
        <f>J40</f>
        <v/>
      </c>
      <c r="XFD43" s="60" t="n"/>
    </row>
    <row r="44">
      <c r="B44" s="18" t="inlineStr">
        <is>
          <t>Depreciation</t>
        </is>
      </c>
      <c r="C44" s="132" t="n"/>
      <c r="D44" s="132" t="n"/>
      <c r="E44" s="132" t="n"/>
      <c r="F44" s="251">
        <f>-($L$44*F37)</f>
        <v/>
      </c>
      <c r="G44" s="251">
        <f>-($L$44*G37)</f>
        <v/>
      </c>
      <c r="H44" s="251">
        <f>-($L$44*H37)</f>
        <v/>
      </c>
      <c r="I44" s="251">
        <f>-($L$44*I37)</f>
        <v/>
      </c>
      <c r="J44" s="251">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52">
        <f>SUM(F43:F44)</f>
        <v/>
      </c>
      <c r="G45" s="252">
        <f>SUM(G43:G44)</f>
        <v/>
      </c>
      <c r="H45" s="252">
        <f>SUM(H43:H44)</f>
        <v/>
      </c>
      <c r="I45" s="252">
        <f>SUM(I43:I44)</f>
        <v/>
      </c>
      <c r="J45" s="252">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17">
        <f>-F80-F89</f>
        <v/>
      </c>
      <c r="G47" s="217">
        <f>-G80-G89</f>
        <v/>
      </c>
      <c r="H47" s="217">
        <f>-H80-H89</f>
        <v/>
      </c>
      <c r="I47" s="217">
        <f>-I80-I89</f>
        <v/>
      </c>
      <c r="J47" s="217">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253" t="n"/>
      <c r="G49" s="253" t="n"/>
      <c r="H49" s="253" t="n"/>
      <c r="I49" s="253" t="n"/>
      <c r="J49" s="253"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M51" s="212" t="n"/>
      <c r="N51" s="212"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0.14</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0.3333333333333334</v>
      </c>
      <c r="I82" s="80" t="n">
        <v>0.3333333333333334</v>
      </c>
      <c r="J82" s="80" t="n">
        <v>0.3333333333333334</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f>N130</f>
        <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2"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5.xml><?xml version="1.0" encoding="utf-8"?>
<worksheet xmlns="http://schemas.openxmlformats.org/spreadsheetml/2006/main">
  <sheetPr>
    <outlinePr summaryBelow="1" summaryRight="1"/>
    <pageSetUpPr/>
  </sheetPr>
  <dimension ref="A1:XFD149"/>
  <sheetViews>
    <sheetView showGridLines="0" tabSelected="1" zoomScale="120" zoomScaleNormal="120" zoomScaleSheetLayoutView="69" workbookViewId="0">
      <selection activeCell="B3" sqref="B3"/>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E40*8</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3</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200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500</v>
      </c>
    </row>
    <row r="28">
      <c r="B28" s="182" t="inlineStr">
        <is>
          <t>Summary Financials</t>
        </is>
      </c>
      <c r="L28" s="19" t="inlineStr">
        <is>
          <t>Y1 Revenue Threshold</t>
        </is>
      </c>
      <c r="M28" s="52" t="n"/>
      <c r="N28" s="202" t="n">
        <v>6000</v>
      </c>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60" t="n">
        <v>0.05</v>
      </c>
      <c r="G38" s="60" t="n">
        <v>0.2</v>
      </c>
      <c r="H38" s="60" t="n">
        <v>0.2</v>
      </c>
      <c r="I38" s="60" t="n">
        <v>0.2</v>
      </c>
      <c r="J38" s="60" t="n">
        <v>0.2</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60" t="n">
        <v>0.2</v>
      </c>
      <c r="G41" s="60" t="n">
        <v>0.25</v>
      </c>
      <c r="H41" s="60" t="n">
        <v>0.25</v>
      </c>
      <c r="I41" s="60" t="n">
        <v>0.3</v>
      </c>
      <c r="J41" s="60" t="n">
        <v>0.33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8</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conditionalFormatting sqref="B34:L35">
    <cfRule type="expression" priority="3" dxfId="0">
      <formula>$N$16="EBITDA"</formula>
    </cfRule>
  </conditionalFormatting>
  <conditionalFormatting sqref="F38:J38">
    <cfRule type="expression" priority="1" dxfId="0">
      <formula>$N$16="ARR"</formula>
    </cfRule>
  </conditionalFormatting>
  <dataValidations count="3">
    <dataValidation sqref="N24" showDropDown="0" showInputMessage="1" showErrorMessage="1" allowBlank="1" type="list">
      <formula1>"LLC, C-corp"</formula1>
    </dataValidation>
    <dataValidation sqref="N16" showDropDown="0" showInputMessage="1" showErrorMessage="1" allowBlank="1" type="list">
      <formula1>"EBITDA, ARR"</formula1>
    </dataValidation>
    <dataValidation sqref="H102 N23 N26 N132" showDropDown="0" showInputMessage="1" showErrorMessage="1" allowBlank="1" type="list">
      <formula1>"0,1"</formula1>
    </dataValidation>
  </dataValidation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2025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2025 Actual</t>
        </is>
      </c>
      <c r="C3" s="258" t="inlineStr">
        <is>
          <t>2025 Plan</t>
        </is>
      </c>
      <c r="D3" s="258" t="inlineStr">
        <is>
          <t>2025 Actual vs Plan Variance</t>
        </is>
      </c>
      <c r="E3" s="258" t="inlineStr">
        <is>
          <t>%</t>
        </is>
      </c>
      <c r="F3" s="258" t="inlineStr">
        <is>
          <t>2024 Actual</t>
        </is>
      </c>
      <c r="G3" s="258" t="inlineStr">
        <is>
          <t>2025 Actual vs 2024 Actual</t>
        </is>
      </c>
      <c r="H3" s="258" t="inlineStr">
        <is>
          <t>%</t>
        </is>
      </c>
    </row>
    <row r="4">
      <c r="A4" s="259" t="inlineStr">
        <is>
          <t>Core Sales</t>
        </is>
      </c>
      <c r="B4" s="260" t="n">
        <v>18575</v>
      </c>
      <c r="C4" s="260" t="n">
        <v>18500</v>
      </c>
      <c r="D4" s="260" t="n">
        <v>75</v>
      </c>
      <c r="E4" s="261" t="n">
        <v>0</v>
      </c>
      <c r="F4" s="260" t="n">
        <v>18117</v>
      </c>
      <c r="G4" s="260" t="n">
        <v>457</v>
      </c>
      <c r="H4" s="261" t="n">
        <v>0.03</v>
      </c>
    </row>
    <row r="5">
      <c r="A5" s="259" t="inlineStr">
        <is>
          <t>Net Other</t>
        </is>
      </c>
      <c r="B5" s="260" t="n">
        <v>-13</v>
      </c>
      <c r="C5" s="260" t="n">
        <v>76</v>
      </c>
      <c r="D5" s="260" t="n">
        <v>-88</v>
      </c>
      <c r="E5" s="261" t="n">
        <v>-1.17</v>
      </c>
      <c r="F5" s="260" t="n">
        <v>158</v>
      </c>
      <c r="G5" s="260" t="n">
        <v>-171</v>
      </c>
      <c r="H5" s="261" t="n">
        <v>-1.08</v>
      </c>
    </row>
    <row r="6">
      <c r="A6" s="262" t="inlineStr">
        <is>
          <t>Gross Margin</t>
        </is>
      </c>
      <c r="B6" s="263" t="n">
        <v>11647</v>
      </c>
      <c r="C6" s="263" t="n">
        <v>11592</v>
      </c>
      <c r="D6" s="263" t="n">
        <v>55</v>
      </c>
      <c r="E6" s="264" t="n">
        <v>0</v>
      </c>
      <c r="F6" s="263" t="n">
        <v>11401</v>
      </c>
      <c r="G6" s="263" t="n">
        <v>246</v>
      </c>
      <c r="H6" s="264" t="n">
        <v>0.02</v>
      </c>
    </row>
    <row r="7">
      <c r="A7" s="259" t="inlineStr">
        <is>
          <t>Core Magin %</t>
        </is>
      </c>
      <c r="B7" s="265" t="n">
        <v>0.628</v>
      </c>
      <c r="C7" s="265" t="n">
        <v>0.623</v>
      </c>
      <c r="D7" s="265" t="n">
        <v>0.005</v>
      </c>
      <c r="E7" s="261" t="n">
        <v>0.01</v>
      </c>
      <c r="F7" s="265" t="n">
        <v>0.621</v>
      </c>
      <c r="G7" s="265" t="n">
        <v>0.006999999999999999</v>
      </c>
      <c r="H7" s="261" t="n">
        <v>0.01</v>
      </c>
    </row>
    <row r="8">
      <c r="A8" s="259" t="inlineStr">
        <is>
          <t>Employee</t>
        </is>
      </c>
      <c r="B8" s="260" t="n">
        <v>3796</v>
      </c>
      <c r="C8" s="260" t="n">
        <v>3859</v>
      </c>
      <c r="D8" s="260" t="n">
        <v>-64</v>
      </c>
      <c r="E8" s="261" t="n">
        <v>-0.02</v>
      </c>
      <c r="F8" s="260" t="n">
        <v>3922</v>
      </c>
      <c r="G8" s="260" t="n">
        <v>-127</v>
      </c>
      <c r="H8" s="261" t="n">
        <v>-0.03</v>
      </c>
    </row>
    <row r="9">
      <c r="A9" s="259" t="inlineStr">
        <is>
          <t>Marketing</t>
        </is>
      </c>
      <c r="B9" s="260" t="n">
        <v>1551</v>
      </c>
      <c r="C9" s="260" t="n">
        <v>1800</v>
      </c>
      <c r="D9" s="260" t="n">
        <v>-249</v>
      </c>
      <c r="E9" s="261" t="n">
        <v>-0.14</v>
      </c>
      <c r="F9" s="260" t="n">
        <v>1376</v>
      </c>
      <c r="G9" s="260" t="n">
        <v>175</v>
      </c>
      <c r="H9" s="261" t="n">
        <v>0.13</v>
      </c>
    </row>
    <row r="10">
      <c r="A10" s="259" t="inlineStr">
        <is>
          <t>Admin</t>
        </is>
      </c>
      <c r="B10" s="260" t="n">
        <v>1731</v>
      </c>
      <c r="C10" s="260" t="n">
        <v>1753</v>
      </c>
      <c r="D10" s="260" t="n">
        <v>-22</v>
      </c>
      <c r="E10" s="261" t="n">
        <v>-0.01</v>
      </c>
      <c r="F10" s="260" t="n">
        <v>1688</v>
      </c>
      <c r="G10" s="260" t="n">
        <v>43</v>
      </c>
      <c r="H10" s="261" t="n">
        <v>0.03</v>
      </c>
    </row>
    <row r="11">
      <c r="A11" s="259" t="inlineStr">
        <is>
          <t>Consulting</t>
        </is>
      </c>
      <c r="B11" s="260" t="n">
        <v>494</v>
      </c>
      <c r="C11" s="260" t="n">
        <v>522</v>
      </c>
      <c r="D11" s="260" t="n">
        <v>-29</v>
      </c>
      <c r="E11" s="261" t="n">
        <v>-0.05</v>
      </c>
      <c r="F11" s="260" t="n">
        <v>575</v>
      </c>
      <c r="G11" s="260" t="n">
        <v>-81</v>
      </c>
      <c r="H11" s="261" t="n">
        <v>-0.14</v>
      </c>
    </row>
    <row r="12">
      <c r="A12" s="259" t="inlineStr">
        <is>
          <t>Fees</t>
        </is>
      </c>
      <c r="B12" s="260" t="n">
        <v>600</v>
      </c>
      <c r="C12" s="260" t="n">
        <v>476</v>
      </c>
      <c r="D12" s="260" t="n">
        <v>124</v>
      </c>
      <c r="E12" s="261" t="n">
        <v>0.26</v>
      </c>
      <c r="F12" s="260" t="n">
        <v>455</v>
      </c>
      <c r="G12" s="260" t="n">
        <v>146</v>
      </c>
      <c r="H12" s="261" t="n">
        <v>0.32</v>
      </c>
    </row>
    <row r="13">
      <c r="A13" s="259" t="inlineStr">
        <is>
          <t>Travel</t>
        </is>
      </c>
      <c r="B13" s="260" t="n">
        <v>113</v>
      </c>
      <c r="C13" s="260" t="n">
        <v>181</v>
      </c>
      <c r="D13" s="260" t="n">
        <v>-68</v>
      </c>
      <c r="E13" s="261" t="n">
        <v>-0.38</v>
      </c>
      <c r="F13" s="260" t="n">
        <v>162</v>
      </c>
      <c r="G13" s="260" t="n">
        <v>-49</v>
      </c>
      <c r="H13" s="261" t="n">
        <v>-0.3</v>
      </c>
    </row>
    <row r="14">
      <c r="A14" s="262" t="inlineStr">
        <is>
          <t>EBITDA</t>
        </is>
      </c>
      <c r="B14" s="263" t="n">
        <v>3363</v>
      </c>
      <c r="C14" s="263" t="n">
        <v>3000</v>
      </c>
      <c r="D14" s="263" t="n">
        <v>363</v>
      </c>
      <c r="E14" s="264" t="n">
        <v>0.12</v>
      </c>
      <c r="F14" s="263" t="n">
        <v>3224</v>
      </c>
      <c r="G14" s="263" t="n">
        <v>140</v>
      </c>
      <c r="H14" s="264" t="n">
        <v>0.04</v>
      </c>
    </row>
    <row r="15">
      <c r="A15" s="259" t="inlineStr">
        <is>
          <t>Charity</t>
        </is>
      </c>
      <c r="B15" s="260" t="n">
        <v>601</v>
      </c>
      <c r="C15" s="260" t="n">
        <v>557</v>
      </c>
      <c r="D15" s="260" t="n">
        <v>44</v>
      </c>
      <c r="E15" s="261" t="n">
        <v>0.08</v>
      </c>
      <c r="F15" s="260" t="n">
        <v>558</v>
      </c>
      <c r="G15" s="260" t="n">
        <v>43</v>
      </c>
      <c r="H15" s="261" t="n">
        <v>0.08</v>
      </c>
    </row>
    <row r="16">
      <c r="A16" s="259" t="inlineStr">
        <is>
          <t>Depreciation</t>
        </is>
      </c>
      <c r="B16" s="260" t="n">
        <v>45</v>
      </c>
      <c r="C16" s="260" t="n">
        <v>44</v>
      </c>
      <c r="D16" s="260" t="n">
        <v>1</v>
      </c>
      <c r="E16" s="261" t="n">
        <v>0.03</v>
      </c>
      <c r="F16" s="260" t="n">
        <v>49</v>
      </c>
      <c r="G16" s="260" t="n">
        <v>-4</v>
      </c>
      <c r="H16" s="261" t="n">
        <v>-0.08</v>
      </c>
    </row>
    <row r="17">
      <c r="A17" s="262" t="inlineStr">
        <is>
          <t>Net Income</t>
        </is>
      </c>
      <c r="B17" s="263" t="n">
        <v>2717</v>
      </c>
      <c r="C17" s="263" t="n">
        <v>2399</v>
      </c>
      <c r="D17" s="263" t="n">
        <v>318</v>
      </c>
      <c r="E17" s="264" t="n">
        <v>0.13</v>
      </c>
      <c r="F17" s="263" t="n">
        <v>2616</v>
      </c>
      <c r="G17" s="263" t="n">
        <v>101</v>
      </c>
      <c r="H17" s="264" t="n">
        <v>0.04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2024 Cash Flow Statement</t>
        </is>
      </c>
      <c r="B1" s="257" t="n"/>
      <c r="C1" s="257" t="n"/>
      <c r="D1" s="257" t="n"/>
    </row>
    <row r="2">
      <c r="A2" s="257" t="n"/>
      <c r="B2" s="257" t="n"/>
      <c r="C2" s="257" t="n"/>
      <c r="D2" s="257" t="n"/>
    </row>
    <row r="3" ht="34" customHeight="1">
      <c r="A3" s="258" t="inlineStr">
        <is>
          <t>(in 000's)</t>
        </is>
      </c>
      <c r="B3" s="258" t="inlineStr">
        <is>
          <t>2024 Actual</t>
        </is>
      </c>
      <c r="C3" s="258" t="inlineStr">
        <is>
          <t>2023 Actual</t>
        </is>
      </c>
      <c r="D3" s="258" t="inlineStr">
        <is>
          <t>Change YOY</t>
        </is>
      </c>
    </row>
    <row r="4">
      <c r="A4" s="259" t="inlineStr">
        <is>
          <t>Beginning Cash</t>
        </is>
      </c>
      <c r="B4" s="260" t="n">
        <v>2836</v>
      </c>
      <c r="C4" s="260" t="n">
        <v>5033</v>
      </c>
      <c r="D4" s="260" t="n">
        <v>-2197</v>
      </c>
    </row>
    <row r="5">
      <c r="A5" s="259" t="inlineStr">
        <is>
          <t>EBITDA</t>
        </is>
      </c>
      <c r="B5" s="260" t="n">
        <v>3224</v>
      </c>
      <c r="C5" s="260" t="n">
        <v>1190</v>
      </c>
      <c r="D5" s="260" t="n">
        <v>2034</v>
      </c>
    </row>
    <row r="6">
      <c r="A6" s="259" t="inlineStr">
        <is>
          <t>Increase in Receivables</t>
        </is>
      </c>
      <c r="B6" s="260" t="n">
        <v>-651</v>
      </c>
      <c r="C6" s="260" t="n">
        <v>-261</v>
      </c>
      <c r="D6" s="260" t="n">
        <v>-390</v>
      </c>
    </row>
    <row r="7">
      <c r="A7" s="259" t="inlineStr">
        <is>
          <t>Purchases of inventory</t>
        </is>
      </c>
      <c r="B7" s="260" t="n">
        <v>-501</v>
      </c>
      <c r="C7" s="260" t="n">
        <v>-1584</v>
      </c>
      <c r="D7" s="260" t="n">
        <v>1083</v>
      </c>
    </row>
    <row r="8">
      <c r="A8" s="259" t="inlineStr">
        <is>
          <t>Change in Payables</t>
        </is>
      </c>
      <c r="B8" s="260" t="n">
        <v>305</v>
      </c>
      <c r="C8" s="260" t="n">
        <v>-101</v>
      </c>
      <c r="D8" s="260" t="n">
        <v>406</v>
      </c>
    </row>
    <row r="9">
      <c r="A9" s="259" t="inlineStr">
        <is>
          <t>Other working capital</t>
        </is>
      </c>
      <c r="B9" s="260" t="n">
        <v>328</v>
      </c>
      <c r="C9" s="260" t="n">
        <v>-750</v>
      </c>
      <c r="D9" s="260" t="n">
        <v>1077</v>
      </c>
    </row>
    <row r="10">
      <c r="A10" s="262" t="inlineStr">
        <is>
          <t>Free cash generated (used)</t>
        </is>
      </c>
      <c r="B10" s="263" t="n">
        <v>2705</v>
      </c>
      <c r="C10" s="263" t="n">
        <v>-1506</v>
      </c>
      <c r="D10" s="263" t="n">
        <v>4210</v>
      </c>
    </row>
    <row r="11">
      <c r="A11" s="259" t="inlineStr">
        <is>
          <t>Contributions</t>
        </is>
      </c>
      <c r="B11" s="260" t="n">
        <v>-558</v>
      </c>
      <c r="C11" s="260" t="n">
        <v>-339</v>
      </c>
      <c r="D11" s="260" t="n">
        <v>-219</v>
      </c>
    </row>
    <row r="12">
      <c r="A12" s="259" t="inlineStr">
        <is>
          <t>Fixed asset additions</t>
        </is>
      </c>
      <c r="B12" s="260" t="n">
        <v>-25</v>
      </c>
      <c r="C12" s="260" t="n">
        <v>-20</v>
      </c>
      <c r="D12" s="260" t="n">
        <v>-5</v>
      </c>
    </row>
    <row r="13">
      <c r="A13" s="259" t="inlineStr">
        <is>
          <t>Repayment of loan</t>
        </is>
      </c>
      <c r="B13" s="260" t="n">
        <v>-486</v>
      </c>
      <c r="C13" s="260" t="n">
        <v>-348</v>
      </c>
      <c r="D13" s="260" t="n">
        <v>-138</v>
      </c>
    </row>
    <row r="14">
      <c r="A14" s="259" t="inlineStr">
        <is>
          <t>State income tax payments</t>
        </is>
      </c>
      <c r="B14" s="260" t="n">
        <v>-46</v>
      </c>
      <c r="C14" s="260" t="n">
        <v>16</v>
      </c>
      <c r="D14" s="260" t="n">
        <v>-62</v>
      </c>
    </row>
    <row r="15">
      <c r="A15" s="262" t="inlineStr">
        <is>
          <t>Total cash generated (used)</t>
        </is>
      </c>
      <c r="B15" s="263" t="n">
        <v>1589</v>
      </c>
      <c r="C15" s="263" t="n">
        <v>-2197</v>
      </c>
      <c r="D15" s="263" t="n">
        <v>3786</v>
      </c>
    </row>
    <row r="16">
      <c r="A16" s="262" t="inlineStr">
        <is>
          <t>End Cash</t>
        </is>
      </c>
      <c r="B16" s="263" t="n">
        <v>4426</v>
      </c>
      <c r="C16" s="263" t="n">
        <v>2836</v>
      </c>
      <c r="D16" s="263" t="n">
        <v>1589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256" t="inlineStr">
        <is>
          <t>2024 Income Statement</t>
        </is>
      </c>
      <c r="B1" s="257" t="n"/>
      <c r="C1" s="257" t="n"/>
      <c r="D1" s="257" t="n"/>
      <c r="E1" s="257" t="n"/>
      <c r="F1" s="257" t="n"/>
      <c r="G1" s="257" t="n"/>
      <c r="H1" s="257" t="n"/>
    </row>
    <row r="2">
      <c r="A2" s="257" t="n"/>
      <c r="B2" s="257" t="n"/>
      <c r="C2" s="257" t="n"/>
      <c r="D2" s="257" t="n"/>
      <c r="E2" s="257" t="n"/>
      <c r="F2" s="257" t="n"/>
      <c r="G2" s="257" t="n"/>
      <c r="H2" s="257" t="n"/>
    </row>
    <row r="3" ht="34" customHeight="1">
      <c r="A3" s="258" t="inlineStr">
        <is>
          <t>(in 000's)</t>
        </is>
      </c>
      <c r="B3" s="258" t="inlineStr">
        <is>
          <t>2024 Actual</t>
        </is>
      </c>
      <c r="C3" s="258" t="inlineStr">
        <is>
          <t>2024 Plan</t>
        </is>
      </c>
      <c r="D3" s="258" t="inlineStr">
        <is>
          <t>2024 Actual vs Plan Variance</t>
        </is>
      </c>
      <c r="E3" s="258" t="inlineStr">
        <is>
          <t>%</t>
        </is>
      </c>
      <c r="F3" s="258" t="inlineStr">
        <is>
          <t>2023 Actual</t>
        </is>
      </c>
      <c r="G3" s="258" t="inlineStr">
        <is>
          <t>2024 Actual vs 2023 Actual</t>
        </is>
      </c>
      <c r="H3" s="258" t="inlineStr">
        <is>
          <t>%</t>
        </is>
      </c>
    </row>
    <row r="4">
      <c r="A4" s="259" t="inlineStr">
        <is>
          <t>Core Sales</t>
        </is>
      </c>
      <c r="B4" s="260" t="n">
        <v>18117</v>
      </c>
      <c r="C4" s="260" t="n">
        <v>13750</v>
      </c>
      <c r="D4" s="260" t="n">
        <v>4367</v>
      </c>
      <c r="E4" s="261" t="n">
        <v>0.32</v>
      </c>
      <c r="F4" s="260" t="n">
        <v>12300</v>
      </c>
      <c r="G4" s="260" t="n">
        <v>5817</v>
      </c>
      <c r="H4" s="261" t="n">
        <v>0.47</v>
      </c>
    </row>
    <row r="5">
      <c r="A5" s="259" t="inlineStr">
        <is>
          <t>Net Other</t>
        </is>
      </c>
      <c r="B5" s="260" t="n">
        <v>158</v>
      </c>
      <c r="C5" s="260" t="n">
        <v>96</v>
      </c>
      <c r="D5" s="260" t="n">
        <v>62</v>
      </c>
      <c r="E5" s="261" t="n">
        <v>0.64</v>
      </c>
      <c r="F5" s="260" t="n">
        <v>-21</v>
      </c>
      <c r="G5" s="260" t="n">
        <v>179</v>
      </c>
      <c r="H5" s="266" t="inlineStr">
        <is>
          <t>--</t>
        </is>
      </c>
    </row>
    <row r="6">
      <c r="A6" s="262" t="inlineStr">
        <is>
          <t>Gross Margin</t>
        </is>
      </c>
      <c r="B6" s="263" t="n">
        <v>11401</v>
      </c>
      <c r="C6" s="263" t="n">
        <v>8726</v>
      </c>
      <c r="D6" s="263" t="n">
        <v>2675</v>
      </c>
      <c r="E6" s="264" t="n">
        <v>0.31</v>
      </c>
      <c r="F6" s="263" t="n">
        <v>7675</v>
      </c>
      <c r="G6" s="263" t="n">
        <v>3726</v>
      </c>
      <c r="H6" s="264" t="n">
        <v>0.49</v>
      </c>
    </row>
    <row r="7">
      <c r="A7" s="259" t="inlineStr">
        <is>
          <t>Core Magin %</t>
        </is>
      </c>
      <c r="B7" s="265" t="n">
        <v>0.621</v>
      </c>
      <c r="C7" s="265" t="n">
        <v>0.628</v>
      </c>
      <c r="D7" s="265" t="n">
        <v>-0.006999999999999999</v>
      </c>
      <c r="E7" s="261" t="n">
        <v>-0.01</v>
      </c>
      <c r="F7" s="265" t="n">
        <v>0.626</v>
      </c>
      <c r="G7" s="265" t="n">
        <v>-0.005</v>
      </c>
      <c r="H7" s="261" t="n">
        <v>-0.01</v>
      </c>
    </row>
    <row r="8">
      <c r="A8" s="259" t="inlineStr">
        <is>
          <t>Employee</t>
        </is>
      </c>
      <c r="B8" s="260" t="n">
        <v>3922</v>
      </c>
      <c r="C8" s="260" t="n">
        <v>3562</v>
      </c>
      <c r="D8" s="260" t="n">
        <v>360</v>
      </c>
      <c r="E8" s="261" t="n">
        <v>0.1</v>
      </c>
      <c r="F8" s="260" t="n">
        <v>3193</v>
      </c>
      <c r="G8" s="260" t="n">
        <v>729</v>
      </c>
      <c r="H8" s="261" t="n">
        <v>0.23</v>
      </c>
    </row>
    <row r="9">
      <c r="A9" s="259" t="inlineStr">
        <is>
          <t>Marketing</t>
        </is>
      </c>
      <c r="B9" s="260" t="n">
        <v>1376</v>
      </c>
      <c r="C9" s="260" t="n">
        <v>1374</v>
      </c>
      <c r="D9" s="260" t="n">
        <v>1</v>
      </c>
      <c r="E9" s="261" t="n">
        <v>0</v>
      </c>
      <c r="F9" s="260" t="n">
        <v>887</v>
      </c>
      <c r="G9" s="260" t="n">
        <v>488</v>
      </c>
      <c r="H9" s="261" t="n">
        <v>0.55</v>
      </c>
    </row>
    <row r="10">
      <c r="A10" s="259" t="inlineStr">
        <is>
          <t>Admin</t>
        </is>
      </c>
      <c r="B10" s="260" t="n">
        <v>1688</v>
      </c>
      <c r="C10" s="260" t="n">
        <v>1636</v>
      </c>
      <c r="D10" s="260" t="n">
        <v>52</v>
      </c>
      <c r="E10" s="261" t="n">
        <v>0.03</v>
      </c>
      <c r="F10" s="260" t="n">
        <v>1572</v>
      </c>
      <c r="G10" s="260" t="n">
        <v>116</v>
      </c>
      <c r="H10" s="261" t="n">
        <v>0.07000000000000001</v>
      </c>
    </row>
    <row r="11">
      <c r="A11" s="259" t="inlineStr">
        <is>
          <t>Consulting</t>
        </is>
      </c>
      <c r="B11" s="260" t="n">
        <v>575</v>
      </c>
      <c r="C11" s="260" t="n">
        <v>492</v>
      </c>
      <c r="D11" s="260" t="n">
        <v>83</v>
      </c>
      <c r="E11" s="261" t="n">
        <v>0.17</v>
      </c>
      <c r="F11" s="260" t="n">
        <v>408</v>
      </c>
      <c r="G11" s="260" t="n">
        <v>167</v>
      </c>
      <c r="H11" s="261" t="n">
        <v>0.41</v>
      </c>
    </row>
    <row r="12">
      <c r="A12" s="259" t="inlineStr">
        <is>
          <t>Fees</t>
        </is>
      </c>
      <c r="B12" s="260" t="n">
        <v>455</v>
      </c>
      <c r="C12" s="260" t="n">
        <v>375</v>
      </c>
      <c r="D12" s="260" t="n">
        <v>80</v>
      </c>
      <c r="E12" s="261" t="n">
        <v>0.21</v>
      </c>
      <c r="F12" s="260" t="n">
        <v>344</v>
      </c>
      <c r="G12" s="260" t="n">
        <v>111</v>
      </c>
      <c r="H12" s="261" t="n">
        <v>0.32</v>
      </c>
    </row>
    <row r="13">
      <c r="A13" s="259" t="inlineStr">
        <is>
          <t>Travel</t>
        </is>
      </c>
      <c r="B13" s="260" t="n">
        <v>162</v>
      </c>
      <c r="C13" s="260" t="n">
        <v>170</v>
      </c>
      <c r="D13" s="260" t="n">
        <v>-8</v>
      </c>
      <c r="E13" s="261" t="n">
        <v>-0.05</v>
      </c>
      <c r="F13" s="260" t="n">
        <v>81</v>
      </c>
      <c r="G13" s="260" t="n">
        <v>81</v>
      </c>
      <c r="H13" s="261" t="n">
        <v>0.99</v>
      </c>
    </row>
    <row r="14">
      <c r="A14" s="262" t="inlineStr">
        <is>
          <t>EBITDA</t>
        </is>
      </c>
      <c r="B14" s="263" t="n">
        <v>3224</v>
      </c>
      <c r="C14" s="263" t="n">
        <v>1118</v>
      </c>
      <c r="D14" s="263" t="n">
        <v>2106</v>
      </c>
      <c r="E14" s="264" t="n">
        <v>1.88</v>
      </c>
      <c r="F14" s="263" t="n">
        <v>1190</v>
      </c>
      <c r="G14" s="263" t="n">
        <v>2034</v>
      </c>
      <c r="H14" s="264" t="n">
        <v>1.71</v>
      </c>
    </row>
    <row r="15">
      <c r="A15" s="259" t="inlineStr">
        <is>
          <t>Charity</t>
        </is>
      </c>
      <c r="B15" s="260" t="n">
        <v>558</v>
      </c>
      <c r="C15" s="260" t="n">
        <v>350</v>
      </c>
      <c r="D15" s="260" t="n">
        <v>208</v>
      </c>
      <c r="E15" s="261" t="n">
        <v>0.59</v>
      </c>
      <c r="F15" s="260" t="n">
        <v>339</v>
      </c>
      <c r="G15" s="260" t="n">
        <v>219</v>
      </c>
      <c r="H15" s="261" t="n">
        <v>0.65</v>
      </c>
    </row>
    <row r="16">
      <c r="A16" s="259" t="inlineStr">
        <is>
          <t>Depreciation</t>
        </is>
      </c>
      <c r="B16" s="260" t="n">
        <v>49</v>
      </c>
      <c r="C16" s="260" t="n">
        <v>61</v>
      </c>
      <c r="D16" s="260" t="n">
        <v>-12</v>
      </c>
      <c r="E16" s="261" t="n">
        <v>-0.19</v>
      </c>
      <c r="F16" s="260" t="n">
        <v>71</v>
      </c>
      <c r="G16" s="260" t="n">
        <v>-21</v>
      </c>
      <c r="H16" s="261" t="n">
        <v>-0.3</v>
      </c>
    </row>
    <row r="17">
      <c r="A17" s="262" t="inlineStr">
        <is>
          <t>Net Income</t>
        </is>
      </c>
      <c r="B17" s="263" t="n">
        <v>2616</v>
      </c>
      <c r="C17" s="263" t="n">
        <v>707</v>
      </c>
      <c r="D17" s="263" t="n">
        <v>1909</v>
      </c>
      <c r="E17" s="264" t="n">
        <v>2.7</v>
      </c>
      <c r="F17" s="263" t="n">
        <v>780</v>
      </c>
      <c r="G17" s="263" t="n">
        <v>1836</v>
      </c>
      <c r="H17" s="264" t="n">
        <v>2.35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32" customWidth="1" min="1" max="1"/>
    <col width="18" customWidth="1" min="2" max="2"/>
    <col width="18" customWidth="1" min="3" max="3"/>
    <col width="18" customWidth="1" min="4" max="4"/>
  </cols>
  <sheetData>
    <row r="1">
      <c r="A1" s="256" t="inlineStr">
        <is>
          <t>2025 Cash Flow Statement</t>
        </is>
      </c>
      <c r="B1" s="257" t="n"/>
      <c r="C1" s="257" t="n"/>
      <c r="D1" s="257" t="n"/>
    </row>
    <row r="2">
      <c r="A2" s="257" t="n"/>
      <c r="B2" s="257" t="n"/>
      <c r="C2" s="257" t="n"/>
      <c r="D2" s="257" t="n"/>
    </row>
    <row r="3" ht="34" customHeight="1">
      <c r="A3" s="258" t="inlineStr">
        <is>
          <t>(in 000's)</t>
        </is>
      </c>
      <c r="B3" s="258" t="inlineStr">
        <is>
          <t>2025 Actual</t>
        </is>
      </c>
      <c r="C3" s="258" t="inlineStr">
        <is>
          <t>2024 Actual</t>
        </is>
      </c>
      <c r="D3" s="258" t="inlineStr">
        <is>
          <t>Change YOY</t>
        </is>
      </c>
    </row>
    <row r="4">
      <c r="A4" s="259" t="inlineStr">
        <is>
          <t>Beginning Cash</t>
        </is>
      </c>
      <c r="B4" s="260" t="n">
        <v>4426</v>
      </c>
      <c r="C4" s="260" t="n">
        <v>2836</v>
      </c>
      <c r="D4" s="260" t="n">
        <v>1589</v>
      </c>
    </row>
    <row r="5">
      <c r="A5" s="259" t="inlineStr">
        <is>
          <t>EBITDA</t>
        </is>
      </c>
      <c r="B5" s="260" t="n">
        <v>3363</v>
      </c>
      <c r="C5" s="260" t="n">
        <v>3224</v>
      </c>
      <c r="D5" s="260" t="n">
        <v>140</v>
      </c>
    </row>
    <row r="6">
      <c r="A6" s="259" t="inlineStr">
        <is>
          <t>Change in Receivables</t>
        </is>
      </c>
      <c r="B6" s="260" t="n">
        <v>539</v>
      </c>
      <c r="C6" s="260" t="n">
        <v>-651</v>
      </c>
      <c r="D6" s="260" t="n">
        <v>1190</v>
      </c>
    </row>
    <row r="7">
      <c r="A7" s="259" t="inlineStr">
        <is>
          <t>Purchases of inventory</t>
        </is>
      </c>
      <c r="B7" s="260" t="n">
        <v>-282</v>
      </c>
      <c r="C7" s="260" t="n">
        <v>-501</v>
      </c>
      <c r="D7" s="260" t="n">
        <v>218</v>
      </c>
    </row>
    <row r="8">
      <c r="A8" s="259" t="inlineStr">
        <is>
          <t>Change in Payables</t>
        </is>
      </c>
      <c r="B8" s="260" t="n">
        <v>-501</v>
      </c>
      <c r="C8" s="260" t="n">
        <v>305</v>
      </c>
      <c r="D8" s="260" t="n">
        <v>-806</v>
      </c>
    </row>
    <row r="9">
      <c r="A9" s="259" t="inlineStr">
        <is>
          <t>Other working capital</t>
        </is>
      </c>
      <c r="B9" s="260" t="n">
        <v>148</v>
      </c>
      <c r="C9" s="260" t="n">
        <v>328</v>
      </c>
      <c r="D9" s="260" t="n">
        <v>-180</v>
      </c>
    </row>
    <row r="10">
      <c r="A10" s="262" t="inlineStr">
        <is>
          <t>Free cash generated (used)</t>
        </is>
      </c>
      <c r="B10" s="263" t="n">
        <v>3267</v>
      </c>
      <c r="C10" s="263" t="n">
        <v>2705</v>
      </c>
      <c r="D10" s="263" t="n">
        <v>562</v>
      </c>
    </row>
    <row r="11">
      <c r="A11" s="259" t="inlineStr">
        <is>
          <t>Contributions</t>
        </is>
      </c>
      <c r="B11" s="260" t="n">
        <v>-601</v>
      </c>
      <c r="C11" s="260" t="n">
        <v>-558</v>
      </c>
      <c r="D11" s="260" t="n">
        <v>-43</v>
      </c>
    </row>
    <row r="12">
      <c r="A12" s="259" t="inlineStr">
        <is>
          <t>Fixed asset additions</t>
        </is>
      </c>
      <c r="B12" s="260" t="n">
        <v>-12</v>
      </c>
      <c r="C12" s="260" t="n">
        <v>-25</v>
      </c>
      <c r="D12" s="260" t="n">
        <v>13</v>
      </c>
    </row>
    <row r="13">
      <c r="A13" s="259" t="inlineStr">
        <is>
          <t>Repayment of loan</t>
        </is>
      </c>
      <c r="B13" s="260" t="n">
        <v>-435</v>
      </c>
      <c r="C13" s="260" t="n">
        <v>-486</v>
      </c>
      <c r="D13" s="260" t="n">
        <v>51</v>
      </c>
    </row>
    <row r="14">
      <c r="A14" s="259" t="inlineStr">
        <is>
          <t>Income tax payments</t>
        </is>
      </c>
      <c r="B14" s="260" t="n">
        <v>-1141</v>
      </c>
      <c r="C14" s="260" t="n">
        <v>-46</v>
      </c>
      <c r="D14" s="260" t="n">
        <v>-1095</v>
      </c>
    </row>
    <row r="15">
      <c r="A15" s="262" t="inlineStr">
        <is>
          <t>Total cash generated (used)</t>
        </is>
      </c>
      <c r="B15" s="263" t="n">
        <v>1078</v>
      </c>
      <c r="C15" s="263" t="n">
        <v>1589</v>
      </c>
      <c r="D15" s="263" t="n">
        <v>-511</v>
      </c>
    </row>
    <row r="16">
      <c r="A16" s="262" t="inlineStr">
        <is>
          <t>End Cash</t>
        </is>
      </c>
      <c r="B16" s="263" t="n">
        <v>5504</v>
      </c>
      <c r="C16" s="263" t="n">
        <v>4426</v>
      </c>
      <c r="D16" s="263" t="n">
        <v>1078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E40*2.5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1.5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1500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v>
      </c>
      <c r="G38" s="279" t="n">
        <v>0.01</v>
      </c>
      <c r="H38" s="279" t="n">
        <v>0.01</v>
      </c>
      <c r="I38" s="279" t="n">
        <v>0.01</v>
      </c>
      <c r="J38" s="279" t="n">
        <v>0.01</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9" t="n">
        <v>0.18</v>
      </c>
      <c r="G41" s="279" t="n">
        <v>0.18</v>
      </c>
      <c r="H41" s="279" t="n">
        <v>0.18</v>
      </c>
      <c r="I41" s="279" t="n">
        <v>0.18</v>
      </c>
      <c r="J41" s="279" t="n">
        <v>0.18</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2.5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E40*3.0</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1500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1250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0.02</v>
      </c>
      <c r="G38" s="279" t="n">
        <v>0.03</v>
      </c>
      <c r="H38" s="279" t="n">
        <v>0.03</v>
      </c>
      <c r="I38" s="279" t="n">
        <v>0.03</v>
      </c>
      <c r="J38" s="279" t="n">
        <v>0.03</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9" t="n">
        <v>0.21</v>
      </c>
      <c r="G41" s="279" t="n">
        <v>0.21</v>
      </c>
      <c r="H41" s="279" t="n">
        <v>0.21</v>
      </c>
      <c r="I41" s="279" t="n">
        <v>0.21</v>
      </c>
      <c r="J41" s="279" t="n">
        <v>0.21</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xl/worksheets/sheet12.xml><?xml version="1.0" encoding="utf-8"?>
<worksheet xmlns="http://schemas.openxmlformats.org/spreadsheetml/2006/main">
  <sheetPr>
    <outlinePr summaryBelow="1" summaryRight="1"/>
    <pageSetUpPr/>
  </sheetPr>
  <dimension ref="A1:XFD149"/>
  <sheetViews>
    <sheetView workbookViewId="0">
      <selection activeCell="A1" sqref="A1"/>
    </sheetView>
  </sheetViews>
  <sheetFormatPr baseColWidth="10" defaultColWidth="8.6640625" defaultRowHeight="11"/>
  <cols>
    <col width="2.6640625" customWidth="1" style="6" min="1" max="1"/>
    <col width="25.6640625" customWidth="1" style="18" min="2" max="2"/>
    <col width="8.6640625" customWidth="1" style="18" min="3" max="10"/>
    <col width="2.6640625" customWidth="1" style="18" min="11" max="11"/>
    <col width="8.6640625" customWidth="1" style="2" min="12" max="12"/>
    <col width="8.6640625" customWidth="1" style="18" min="13" max="13"/>
    <col width="9.83203125" bestFit="1" customWidth="1" style="18" min="14" max="14"/>
    <col width="8.6640625" customWidth="1" style="18" min="15" max="19"/>
    <col width="8.6640625" customWidth="1" style="18" min="20" max="16384"/>
  </cols>
  <sheetData>
    <row r="1">
      <c r="A1" s="18" t="n"/>
    </row>
    <row r="2" ht="25" customHeight="1">
      <c r="A2" s="6" t="inlineStr">
        <is>
          <t>x</t>
        </is>
      </c>
      <c r="B2" s="27" t="inlineStr">
        <is>
          <t>G&amp;B Model Template</t>
        </is>
      </c>
      <c r="C2" s="28" t="n"/>
      <c r="D2" s="28" t="n"/>
      <c r="E2" s="28" t="n"/>
      <c r="F2" s="28" t="n"/>
      <c r="G2" s="28" t="n"/>
      <c r="H2" s="28" t="n"/>
      <c r="I2" s="28" t="n"/>
      <c r="J2" s="28" t="n"/>
      <c r="K2" s="28" t="n"/>
      <c r="L2" s="1" t="n"/>
      <c r="M2" s="28" t="n"/>
      <c r="N2" s="28" t="n"/>
      <c r="O2" s="28" t="n"/>
      <c r="P2" s="28" t="n"/>
      <c r="Q2" s="28" t="n"/>
      <c r="R2" s="28" t="n"/>
      <c r="S2" s="28" t="n"/>
    </row>
    <row r="3" ht="6.5" customHeight="1"/>
    <row r="4" ht="10.5" customHeight="1">
      <c r="B4" s="113" t="inlineStr">
        <is>
          <t>Instructions</t>
        </is>
      </c>
      <c r="C4" s="70" t="n"/>
      <c r="D4" s="70" t="n"/>
      <c r="E4" s="70" t="n"/>
      <c r="F4" s="70" t="n"/>
      <c r="G4" s="70" t="n"/>
      <c r="H4" s="70" t="n"/>
      <c r="I4" s="70" t="n"/>
      <c r="J4" s="70" t="n"/>
      <c r="K4" s="70" t="n"/>
      <c r="L4" s="108" t="n"/>
      <c r="M4" s="70" t="n"/>
      <c r="N4" s="70" t="n"/>
      <c r="O4" s="70" t="n"/>
      <c r="P4" s="70" t="n"/>
      <c r="Q4" s="70" t="n"/>
      <c r="R4" s="70" t="n"/>
      <c r="S4" s="109" t="n"/>
    </row>
    <row r="5" ht="10.5" customHeight="1">
      <c r="B5" s="115" t="inlineStr">
        <is>
          <t>1. Fill out historical Revenue and EBITDA. Project Revenue and EBITDA for the 5 year period.</t>
        </is>
      </c>
      <c r="C5" s="62" t="n"/>
      <c r="D5" s="62" t="n"/>
      <c r="E5" s="62" t="n"/>
      <c r="F5" s="62" t="n"/>
      <c r="G5" s="62" t="n"/>
      <c r="H5" s="62" t="n"/>
      <c r="I5" s="62" t="n"/>
      <c r="J5" s="62" t="n"/>
      <c r="K5" s="62" t="n"/>
      <c r="L5" s="110" t="n"/>
      <c r="M5" s="62" t="n"/>
      <c r="N5" s="62" t="n"/>
      <c r="O5" s="62" t="n"/>
      <c r="P5" s="62" t="n"/>
      <c r="Q5" s="62" t="n"/>
      <c r="R5" s="62" t="n"/>
      <c r="S5" s="97" t="n"/>
      <c r="V5" s="119" t="n"/>
    </row>
    <row r="6" ht="10.5" customHeight="1">
      <c r="B6" s="115" t="inlineStr">
        <is>
          <t>2. Fill out the transaction assumptions with TEV &amp; leverage and other key structure information.</t>
        </is>
      </c>
      <c r="C6" s="62" t="n"/>
      <c r="D6" s="62" t="n"/>
      <c r="E6" s="62" t="n"/>
      <c r="F6" s="62" t="n"/>
      <c r="G6" s="62" t="n"/>
      <c r="H6" s="62" t="n"/>
      <c r="I6" s="62" t="n"/>
      <c r="J6" s="62" t="n"/>
      <c r="K6" s="62" t="n"/>
      <c r="L6" s="110" t="n"/>
      <c r="M6" s="62" t="n"/>
      <c r="N6" s="62" t="n"/>
      <c r="O6" s="62" t="n"/>
      <c r="P6" s="62" t="n"/>
      <c r="Q6" s="62" t="n"/>
      <c r="R6" s="62" t="n"/>
      <c r="S6" s="97" t="n"/>
    </row>
    <row r="7" ht="10.5" customHeight="1">
      <c r="B7" s="115" t="inlineStr">
        <is>
          <t>3. Adjust the remaining assumptions in the yellow boxes for the cash flow statement and debt schedule as appropriate.</t>
        </is>
      </c>
      <c r="C7" s="62" t="n"/>
      <c r="D7" s="62" t="n"/>
      <c r="E7" s="62" t="n"/>
      <c r="F7" s="62" t="n"/>
      <c r="G7" s="62" t="n"/>
      <c r="H7" s="62" t="n"/>
      <c r="I7" s="62" t="n"/>
      <c r="J7" s="62" t="n"/>
      <c r="K7" s="62" t="n"/>
      <c r="L7" s="110" t="n"/>
      <c r="M7" s="62" t="n"/>
      <c r="N7" s="62" t="n"/>
      <c r="O7" s="62" t="n"/>
      <c r="P7" s="62" t="n"/>
      <c r="Q7" s="62" t="n"/>
      <c r="R7" s="62" t="n"/>
      <c r="S7" s="97" t="n"/>
    </row>
    <row r="8" ht="10.5" customHeight="1">
      <c r="B8" s="114" t="inlineStr">
        <is>
          <t>4. Check the "check" to make sure your business has the cash flow profile to support your capital structure.</t>
        </is>
      </c>
      <c r="C8" s="62" t="n"/>
      <c r="D8" s="62" t="n"/>
      <c r="E8" s="62" t="n"/>
      <c r="F8" s="62" t="n"/>
      <c r="G8" s="62" t="n"/>
      <c r="H8" s="62" t="n"/>
      <c r="I8" s="62" t="n"/>
      <c r="J8" s="62" t="n"/>
      <c r="K8" s="62" t="n"/>
      <c r="L8" s="110" t="n"/>
      <c r="M8" s="62" t="n"/>
      <c r="N8" s="62" t="n"/>
      <c r="O8" s="62" t="n"/>
      <c r="P8" s="62" t="n"/>
      <c r="Q8" s="62" t="n"/>
      <c r="R8" s="62" t="n"/>
      <c r="S8" s="97" t="n"/>
    </row>
    <row r="9" ht="10.5" customHeight="1">
      <c r="B9" s="115" t="inlineStr">
        <is>
          <t>5. Modify the deal structure and exit assumptions if needed. Note: If the model is getting errors, turn the circuit breaker to 0 and back to 1.</t>
        </is>
      </c>
      <c r="C9" s="62" t="n"/>
      <c r="D9" s="62" t="n"/>
      <c r="E9" s="62" t="n"/>
      <c r="F9" s="62" t="n"/>
      <c r="G9" s="62" t="n"/>
      <c r="H9" s="62" t="n"/>
      <c r="I9" s="62" t="n"/>
      <c r="J9" s="62" t="n"/>
      <c r="K9" s="62" t="n"/>
      <c r="L9" s="110" t="n"/>
      <c r="M9" s="62" t="n"/>
      <c r="N9" s="62" t="n"/>
      <c r="O9" s="62" t="n"/>
      <c r="P9" s="62" t="n"/>
      <c r="Q9" s="62" t="n"/>
      <c r="R9" s="62" t="n"/>
      <c r="S9" s="97" t="n"/>
    </row>
    <row r="10" ht="10.5" customHeight="1">
      <c r="B10" s="116" t="inlineStr">
        <is>
          <t>6. Evaluate the returns.</t>
        </is>
      </c>
      <c r="C10" s="102" t="n"/>
      <c r="D10" s="102" t="n"/>
      <c r="E10" s="102" t="n"/>
      <c r="F10" s="102" t="n"/>
      <c r="G10" s="102" t="n"/>
      <c r="H10" s="102" t="n"/>
      <c r="I10" s="102" t="n"/>
      <c r="J10" s="102" t="n"/>
      <c r="K10" s="102" t="n"/>
      <c r="L10" s="111" t="n"/>
      <c r="M10" s="102" t="n"/>
      <c r="N10" s="102" t="n"/>
      <c r="O10" s="102" t="n"/>
      <c r="P10" s="102" t="n"/>
      <c r="Q10" s="102" t="n"/>
      <c r="R10" s="102" t="n"/>
      <c r="S10" s="112" t="n"/>
    </row>
    <row r="11" ht="6.5" customHeight="1"/>
    <row r="12">
      <c r="B12" s="21" t="inlineStr">
        <is>
          <t>$000s unless otherwise indicated</t>
        </is>
      </c>
      <c r="L12" s="8" t="inlineStr">
        <is>
          <t>Check</t>
        </is>
      </c>
      <c r="M12" s="29" t="n"/>
      <c r="N12" s="16">
        <f>IF(SUM(F67:J67)&gt;0,"Cash Shortfall","OK")</f>
        <v/>
      </c>
      <c r="O12" s="144" t="inlineStr">
        <is>
          <t>*Check here to make sure your business has enough cash flow to support the capital structure.</t>
        </is>
      </c>
    </row>
    <row r="13" ht="6.5" customHeight="1">
      <c r="O13" s="145" t="n"/>
    </row>
    <row r="14" ht="10.5" customHeight="1">
      <c r="A14" s="6" t="inlineStr">
        <is>
          <t>x</t>
        </is>
      </c>
      <c r="B14" s="30" t="inlineStr">
        <is>
          <t>Sources</t>
        </is>
      </c>
      <c r="C14" s="31" t="n"/>
      <c r="D14" s="31" t="n"/>
      <c r="E14" s="32" t="n"/>
      <c r="G14" s="30" t="inlineStr">
        <is>
          <t>Uses</t>
        </is>
      </c>
      <c r="H14" s="31" t="n"/>
      <c r="I14" s="31" t="n"/>
      <c r="J14" s="32" t="n"/>
      <c r="L14" s="30" t="inlineStr">
        <is>
          <t>Transaction Assumptions</t>
        </is>
      </c>
      <c r="M14" s="31" t="n"/>
      <c r="N14" s="32" t="n"/>
      <c r="O14" s="145" t="n"/>
    </row>
    <row r="15">
      <c r="B15" s="33" t="n"/>
      <c r="C15" s="122" t="inlineStr">
        <is>
          <t>Amount</t>
        </is>
      </c>
      <c r="D15" s="122">
        <f>CONCATENATE("x",$N$16)</f>
        <v/>
      </c>
      <c r="E15" s="123" t="inlineStr">
        <is>
          <t>% of Total</t>
        </is>
      </c>
      <c r="G15" s="33" t="n"/>
      <c r="H15" s="122" t="inlineStr">
        <is>
          <t>Amount</t>
        </is>
      </c>
      <c r="I15" s="122">
        <f>CONCATENATE("x",$N$16)</f>
        <v/>
      </c>
      <c r="J15" s="123" t="inlineStr">
        <is>
          <t>% of Total</t>
        </is>
      </c>
      <c r="L15" s="3" t="inlineStr">
        <is>
          <t>TEV</t>
        </is>
      </c>
      <c r="N15" s="183">
        <f>E40*3.5</f>
        <v/>
      </c>
      <c r="O15" s="144" t="inlineStr">
        <is>
          <t>*Refer to the Search Fund Study to understand median multiples, revenue, EBITDA, and more.</t>
        </is>
      </c>
    </row>
    <row r="16">
      <c r="B16" s="33" t="inlineStr">
        <is>
          <t>Term Debt</t>
        </is>
      </c>
      <c r="C16" s="184">
        <f>D16*E40</f>
        <v/>
      </c>
      <c r="D16" s="35">
        <f>N20</f>
        <v/>
      </c>
      <c r="E16" s="13">
        <f>C16/C25</f>
        <v/>
      </c>
      <c r="F16" s="36" t="n"/>
      <c r="G16" s="37" t="inlineStr">
        <is>
          <t>TEV</t>
        </is>
      </c>
      <c r="H16" s="184">
        <f>N15</f>
        <v/>
      </c>
      <c r="I16" s="35">
        <f>H16/$N$17</f>
        <v/>
      </c>
      <c r="J16" s="13">
        <f>H16/$H$25</f>
        <v/>
      </c>
      <c r="L16" s="3" t="inlineStr">
        <is>
          <t>Entry Multiple</t>
        </is>
      </c>
      <c r="N16" s="11" t="inlineStr">
        <is>
          <t>EBITDA</t>
        </is>
      </c>
    </row>
    <row r="17">
      <c r="B17" s="38" t="inlineStr">
        <is>
          <t>Seller Debt</t>
        </is>
      </c>
      <c r="C17" s="39">
        <f>N21</f>
        <v/>
      </c>
      <c r="D17" s="40">
        <f>C17/$N$17</f>
        <v/>
      </c>
      <c r="E17" s="14">
        <f>C17/C25</f>
        <v/>
      </c>
      <c r="F17" s="36" t="n"/>
      <c r="G17" s="37" t="inlineStr">
        <is>
          <t>Fees</t>
        </is>
      </c>
      <c r="H17" s="186">
        <f>H16*N19</f>
        <v/>
      </c>
      <c r="I17" s="35">
        <f>H17/$N$17</f>
        <v/>
      </c>
      <c r="J17" s="13">
        <f>H17/$H$25</f>
        <v/>
      </c>
      <c r="L17" s="3">
        <f>IF(N16="ARR","Ending ARR","LTM EBITDA")</f>
        <v/>
      </c>
      <c r="N17" s="185">
        <f>IF(N16="ARR",E34,E40)</f>
        <v/>
      </c>
    </row>
    <row r="18">
      <c r="B18" s="33" t="inlineStr">
        <is>
          <t>Total Debt</t>
        </is>
      </c>
      <c r="C18" s="184">
        <f>SUM(C16:C17)</f>
        <v/>
      </c>
      <c r="D18" s="35">
        <f>C18/$N$17</f>
        <v/>
      </c>
      <c r="E18" s="13">
        <f>C18/$C$25</f>
        <v/>
      </c>
      <c r="F18" s="36" t="n"/>
      <c r="G18" s="37" t="inlineStr">
        <is>
          <t>Cash to B/S</t>
        </is>
      </c>
      <c r="H18" s="186">
        <f>N22</f>
        <v/>
      </c>
      <c r="I18" s="35">
        <f>H18/$N$17</f>
        <v/>
      </c>
      <c r="J18" s="13">
        <f>H18/$H$25</f>
        <v/>
      </c>
      <c r="L18" s="3" t="inlineStr">
        <is>
          <t>LTM Period</t>
        </is>
      </c>
      <c r="N18" s="187" t="n">
        <v>46022</v>
      </c>
      <c r="O18" s="149" t="inlineStr">
        <is>
          <t>2024 Search Fund Study | Stanford Graduate School of Business</t>
        </is>
      </c>
    </row>
    <row r="19">
      <c r="B19" s="33" t="n"/>
      <c r="C19" s="43" t="n"/>
      <c r="D19" s="188" t="n"/>
      <c r="E19" s="45" t="n"/>
      <c r="F19" s="36" t="n"/>
      <c r="G19" s="37" t="n"/>
      <c r="H19" s="36" t="n"/>
      <c r="I19" s="189" t="n"/>
      <c r="J19" s="13" t="n"/>
      <c r="L19" s="3" t="inlineStr">
        <is>
          <t>Transaction Costs</t>
        </is>
      </c>
      <c r="N19" s="4" t="n">
        <v>0.05</v>
      </c>
    </row>
    <row r="20">
      <c r="B20" s="121" t="inlineStr">
        <is>
          <t>Equity</t>
        </is>
      </c>
      <c r="C20" s="43" t="n"/>
      <c r="D20" s="190" t="inlineStr">
        <is>
          <t>% of Equity</t>
        </is>
      </c>
      <c r="E20" s="45" t="n"/>
      <c r="F20" s="36" t="n"/>
      <c r="G20" s="37" t="n"/>
      <c r="H20" s="36" t="n"/>
      <c r="I20" s="189" t="n"/>
      <c r="J20" s="13" t="n"/>
      <c r="L20" s="3">
        <f>CONCATENATE("Term Debt x",N16)</f>
        <v/>
      </c>
      <c r="N20" s="191" t="n">
        <v>2.5</v>
      </c>
      <c r="O20" s="145" t="n"/>
      <c r="R20" s="119" t="n"/>
    </row>
    <row r="21">
      <c r="B21" s="33" t="inlineStr">
        <is>
          <t>Seller Equity Rollover</t>
        </is>
      </c>
      <c r="C21" s="192">
        <f>D21*C23</f>
        <v/>
      </c>
      <c r="D21" s="193">
        <f>N25</f>
        <v/>
      </c>
      <c r="E21" s="194">
        <f>C21/C25</f>
        <v/>
      </c>
      <c r="F21" s="36" t="n"/>
      <c r="G21" s="37" t="n"/>
      <c r="H21" s="36" t="n"/>
      <c r="I21" s="189" t="n"/>
      <c r="J21" s="13" t="n"/>
      <c r="L21" s="3" t="inlineStr">
        <is>
          <t>Seller Debt Quantum</t>
        </is>
      </c>
      <c r="N21" s="183" t="n">
        <v>2000</v>
      </c>
      <c r="O21" s="144" t="n"/>
      <c r="P21" s="75" t="n"/>
      <c r="R21" s="119" t="n"/>
    </row>
    <row r="22">
      <c r="B22" s="33" t="inlineStr">
        <is>
          <t>Investor Equity</t>
        </is>
      </c>
      <c r="C22" s="186">
        <f>D22*C23</f>
        <v/>
      </c>
      <c r="D22" s="193">
        <f>1-D21</f>
        <v/>
      </c>
      <c r="E22" s="13">
        <f>C22/C25</f>
        <v/>
      </c>
      <c r="F22" s="36" t="n"/>
      <c r="G22" s="37" t="n"/>
      <c r="H22" s="36" t="n"/>
      <c r="I22" s="189" t="n"/>
      <c r="J22" s="13" t="n"/>
      <c r="L22" s="37" t="inlineStr">
        <is>
          <t>Cash to B/S</t>
        </is>
      </c>
      <c r="N22" s="183" t="n">
        <v>1000</v>
      </c>
      <c r="O22" s="144" t="inlineStr">
        <is>
          <t>*Typically, searcher(s) put de minimis cash on the balance sheet.</t>
        </is>
      </c>
      <c r="P22" s="75" t="n"/>
      <c r="R22" s="119" t="n"/>
    </row>
    <row r="23">
      <c r="B23" s="120" t="inlineStr">
        <is>
          <t>Total Equity</t>
        </is>
      </c>
      <c r="C23" s="195">
        <f>C25-C18</f>
        <v/>
      </c>
      <c r="D23" s="196">
        <f>SUM(C21:C22)/C23</f>
        <v/>
      </c>
      <c r="E23" s="197">
        <f>C23/C25</f>
        <v/>
      </c>
      <c r="F23" s="36" t="n"/>
      <c r="G23" s="37" t="n"/>
      <c r="H23" s="36" t="n"/>
      <c r="I23" s="36" t="n"/>
      <c r="J23" s="45" t="n"/>
      <c r="L23" s="37" t="inlineStr">
        <is>
          <t>ECF Distribution</t>
        </is>
      </c>
      <c r="N23" s="198" t="n">
        <v>0</v>
      </c>
      <c r="O23" s="144" t="inlineStr">
        <is>
          <t>*Toggle this to distribute 1/3 of accumulated cash in Year 3 &amp; 4.</t>
        </is>
      </c>
      <c r="P23" s="75" t="n"/>
      <c r="R23" s="119" t="n"/>
      <c r="T23" s="51" t="n"/>
      <c r="U23" s="51" t="n"/>
      <c r="V23" s="51" t="n"/>
      <c r="W23" s="51" t="n"/>
    </row>
    <row r="24">
      <c r="B24" s="33" t="n"/>
      <c r="E24" s="46" t="n"/>
      <c r="G24" s="33" t="n"/>
      <c r="J24" s="46" t="n"/>
      <c r="L24" s="37" t="inlineStr">
        <is>
          <t>LLC/C-corp</t>
        </is>
      </c>
      <c r="N24" s="198" t="inlineStr">
        <is>
          <t>C-corp</t>
        </is>
      </c>
      <c r="O24" s="144" t="inlineStr">
        <is>
          <t>*To qualify for QSBS, TEV must be &lt;$70M you must be a C-corp and fit certain industry requirements (many except financial and professional services firms, certain categories of healthcare, and certain other excluded businesses).</t>
        </is>
      </c>
      <c r="P24" s="75" t="n"/>
      <c r="U24" s="119" t="n"/>
    </row>
    <row r="25">
      <c r="B25" s="48" t="inlineStr">
        <is>
          <t>Total Sources</t>
        </is>
      </c>
      <c r="C25" s="199">
        <f>H25</f>
        <v/>
      </c>
      <c r="D25" s="50">
        <f>C25/$N$17</f>
        <v/>
      </c>
      <c r="E25" s="15">
        <f>C25/$H$25</f>
        <v/>
      </c>
      <c r="F25" s="51" t="n"/>
      <c r="G25" s="48" t="inlineStr">
        <is>
          <t>Total Uses</t>
        </is>
      </c>
      <c r="H25" s="199">
        <f>SUM(H16:H18)</f>
        <v/>
      </c>
      <c r="I25" s="50">
        <f>H25/$N$17</f>
        <v/>
      </c>
      <c r="J25" s="15">
        <f>H25/$H$25</f>
        <v/>
      </c>
      <c r="L25" s="37" t="inlineStr">
        <is>
          <t>Seller Equity Rollover</t>
        </is>
      </c>
      <c r="N25" s="200" t="n">
        <v>0.1</v>
      </c>
      <c r="O25" s="151" t="inlineStr">
        <is>
          <t>QSBS | Insights | Holland &amp; Knight</t>
        </is>
      </c>
    </row>
    <row r="26">
      <c r="L26" s="3" t="inlineStr">
        <is>
          <t>Earnout</t>
        </is>
      </c>
      <c r="N26" s="198" t="n">
        <v>0</v>
      </c>
      <c r="O26" s="144" t="inlineStr">
        <is>
          <t>*This is meant to be a simple example of an earnout; earnout structures can vary.</t>
        </is>
      </c>
    </row>
    <row r="27">
      <c r="L27" s="33" t="inlineStr">
        <is>
          <t>Earnout Amount</t>
        </is>
      </c>
      <c r="N27" s="201" t="n">
        <v>0</v>
      </c>
    </row>
    <row r="28">
      <c r="B28" s="182" t="inlineStr">
        <is>
          <t>Summary Financials</t>
        </is>
      </c>
      <c r="L28" s="19" t="inlineStr">
        <is>
          <t>Y1 Revenue Threshold</t>
        </is>
      </c>
      <c r="M28" s="52" t="n"/>
      <c r="N28" s="202" t="inlineStr"/>
    </row>
    <row r="29" ht="6.5" customHeight="1"/>
    <row r="30">
      <c r="E30" s="152" t="inlineStr">
        <is>
          <t>TXN Close</t>
        </is>
      </c>
      <c r="J30" s="152" t="inlineStr">
        <is>
          <t>TXN + 5</t>
        </is>
      </c>
    </row>
    <row r="31">
      <c r="A31" s="6" t="inlineStr">
        <is>
          <t>x</t>
        </is>
      </c>
      <c r="B31" s="53" t="inlineStr">
        <is>
          <t>Income Statement</t>
        </is>
      </c>
      <c r="C31" s="53" t="n"/>
      <c r="D31" s="53" t="n"/>
      <c r="E31" s="53" t="n"/>
      <c r="F31" s="53" t="n"/>
      <c r="G31" s="53" t="n"/>
      <c r="H31" s="53" t="n"/>
      <c r="I31" s="53" t="n"/>
      <c r="J31" s="53" t="n"/>
      <c r="L31" s="53" t="inlineStr">
        <is>
          <t>Assumptions &amp; BK Growth Notes</t>
        </is>
      </c>
      <c r="M31" s="54" t="n"/>
      <c r="N31" s="55" t="n"/>
      <c r="O31" s="55" t="n"/>
      <c r="P31" s="55" t="n"/>
      <c r="Q31" s="55" t="n"/>
      <c r="R31" s="55" t="n"/>
      <c r="S31" s="55" t="n"/>
    </row>
    <row r="32" ht="6.5" customHeight="1">
      <c r="L32" s="6" t="n"/>
      <c r="O32" s="145" t="n"/>
    </row>
    <row r="33">
      <c r="C33" s="203">
        <f>EDATE(D33,-12)</f>
        <v/>
      </c>
      <c r="D33" s="203">
        <f>EDATE(E33,-12)</f>
        <v/>
      </c>
      <c r="E33" s="203">
        <f>N18</f>
        <v/>
      </c>
      <c r="F33" s="204">
        <f>EDATE(E33,12)</f>
        <v/>
      </c>
      <c r="G33" s="204">
        <f>EDATE(F33,12)</f>
        <v/>
      </c>
      <c r="H33" s="204">
        <f>EDATE(G33,12)</f>
        <v/>
      </c>
      <c r="I33" s="204">
        <f>EDATE(H33,12)</f>
        <v/>
      </c>
      <c r="J33" s="204">
        <f>EDATE(I33,12)</f>
        <v/>
      </c>
      <c r="L33" s="156" t="inlineStr">
        <is>
          <t>CAGR</t>
        </is>
      </c>
    </row>
    <row r="34">
      <c r="B34" s="18" t="inlineStr">
        <is>
          <t>Ending ARR</t>
        </is>
      </c>
      <c r="C34" s="205" t="n">
        <v>9796</v>
      </c>
      <c r="D34" s="205" t="n">
        <v>11304</v>
      </c>
      <c r="E34" s="205" t="n">
        <v>12700</v>
      </c>
      <c r="F34" s="212">
        <f>E34*(1+F35)</f>
        <v/>
      </c>
      <c r="G34" s="212">
        <f>F34*(1+G35)</f>
        <v/>
      </c>
      <c r="H34" s="212">
        <f>G34*(1+H35)</f>
        <v/>
      </c>
      <c r="I34" s="212">
        <f>H34*(1+I35)</f>
        <v/>
      </c>
      <c r="J34" s="212">
        <f>I34*(1+J35)</f>
        <v/>
      </c>
      <c r="L34" s="207">
        <f>_xlfn.RRI(2,C34,E34)</f>
        <v/>
      </c>
      <c r="O34" s="144" t="inlineStr">
        <is>
          <t>*Use this if you are looking at an ARR multiple deal. Revenue for a period is calculated as the average of beginning and ending ARR.</t>
        </is>
      </c>
    </row>
    <row r="35">
      <c r="B35" s="21" t="inlineStr">
        <is>
          <t>Growth</t>
        </is>
      </c>
      <c r="C35" s="203" t="n"/>
      <c r="D35" s="208">
        <f>D34/C34-1</f>
        <v/>
      </c>
      <c r="E35" s="208">
        <f>E34/D34-1</f>
        <v/>
      </c>
      <c r="F35" s="209" t="n">
        <v>0.06018582677165352</v>
      </c>
      <c r="G35" s="209" t="n">
        <v>0.1764185746667504</v>
      </c>
      <c r="H35" s="209" t="n">
        <v>0.10904284286988</v>
      </c>
      <c r="I35" s="209" t="n">
        <v>0.2059469690082103</v>
      </c>
      <c r="J35" s="209" t="n">
        <v>0.1218996770264302</v>
      </c>
      <c r="L35" s="156" t="n"/>
    </row>
    <row r="36">
      <c r="C36" s="203" t="n"/>
      <c r="D36" s="208" t="n"/>
      <c r="E36" s="208" t="n"/>
      <c r="F36" s="210" t="n"/>
      <c r="G36" s="210" t="n"/>
      <c r="H36" s="210" t="n"/>
      <c r="I36" s="210" t="n"/>
      <c r="J36" s="210" t="n"/>
      <c r="L36" s="156" t="n"/>
    </row>
    <row r="37">
      <c r="B37" s="18" t="inlineStr">
        <is>
          <t>GAAP Revenue</t>
        </is>
      </c>
      <c r="C37" s="211" t="n">
        <v>12300</v>
      </c>
      <c r="D37" s="211" t="n">
        <v>18117</v>
      </c>
      <c r="E37" s="211" t="n">
        <v>18575</v>
      </c>
      <c r="F37" s="212">
        <f>IF(N16="ARR",AVERAGE(F34,E34),E37*(1+F38))</f>
        <v/>
      </c>
      <c r="G37" s="212">
        <f>IF(O16="ARR",AVERAGE(G34,F34),F37*(1+G38))</f>
        <v/>
      </c>
      <c r="H37" s="212">
        <f>IF(P16="ARR",AVERAGE(H34,G34),G37*(1+H38))</f>
        <v/>
      </c>
      <c r="I37" s="212">
        <f>IF(Q16="ARR",AVERAGE(I34,H34),H37*(1+I38))</f>
        <v/>
      </c>
      <c r="J37" s="212">
        <f>IF(R16="ARR",AVERAGE(J34,I34),I37*(1+J38))</f>
        <v/>
      </c>
      <c r="L37" s="207">
        <f>_xlfn.RRI(2,C37,E37)</f>
        <v/>
      </c>
      <c r="O37" s="144" t="inlineStr">
        <is>
          <t>*It is difficult to accelerate the growth of a business that is not already consistently growing at a solid pace.</t>
        </is>
      </c>
    </row>
    <row r="38" ht="10" customHeight="1">
      <c r="B38" s="21" t="inlineStr">
        <is>
          <t>Growth</t>
        </is>
      </c>
      <c r="C38" s="58" t="n"/>
      <c r="D38" s="132">
        <f>D37/C37-1</f>
        <v/>
      </c>
      <c r="E38" s="132">
        <f>E37/D37-1</f>
        <v/>
      </c>
      <c r="F38" s="279" t="n">
        <v>0.04</v>
      </c>
      <c r="G38" s="279" t="n">
        <v>0.05</v>
      </c>
      <c r="H38" s="279" t="n">
        <v>0.05</v>
      </c>
      <c r="I38" s="279" t="n">
        <v>0.05</v>
      </c>
      <c r="J38" s="279" t="n">
        <v>0.05</v>
      </c>
      <c r="L38" s="213" t="n"/>
      <c r="O38" s="144" t="inlineStr">
        <is>
          <t>*Forecast revenue here if you are looking at an EBITDA multiple deal. For an ARR deal, you do not need historical revenue numbers.</t>
        </is>
      </c>
      <c r="XFD38" s="61" t="n"/>
    </row>
    <row r="39">
      <c r="C39" s="62" t="n"/>
      <c r="D39" s="62" t="n"/>
      <c r="E39" s="62" t="n"/>
      <c r="O39" s="146" t="n"/>
    </row>
    <row r="40">
      <c r="B40" s="18" t="inlineStr">
        <is>
          <t>Normalized EBITDA</t>
        </is>
      </c>
      <c r="C40" s="211" t="n">
        <v>1529</v>
      </c>
      <c r="D40" s="211" t="n">
        <v>3782</v>
      </c>
      <c r="E40" s="211" t="n">
        <v>3964</v>
      </c>
      <c r="F40" s="212">
        <f>F41*F37</f>
        <v/>
      </c>
      <c r="G40" s="212">
        <f>G41*G37</f>
        <v/>
      </c>
      <c r="H40" s="212">
        <f>H41*H37</f>
        <v/>
      </c>
      <c r="I40" s="212">
        <f>I41*I37</f>
        <v/>
      </c>
      <c r="J40" s="212">
        <f>J41*J37</f>
        <v/>
      </c>
      <c r="L40" s="207">
        <f>_xlfn.RRI(2,C40,E40)</f>
        <v/>
      </c>
      <c r="O40" s="147" t="inlineStr">
        <is>
          <t>*In the short/medium run, margins in ETA often decline and remain lower than historical margins (see research linked below for more). We rarely see a search fund business of scale with margins greater than 35%.</t>
        </is>
      </c>
    </row>
    <row r="41">
      <c r="B41" s="21" t="inlineStr">
        <is>
          <t>Margin</t>
        </is>
      </c>
      <c r="C41" s="132">
        <f>C40/C37</f>
        <v/>
      </c>
      <c r="D41" s="132">
        <f>D40/D37</f>
        <v/>
      </c>
      <c r="E41" s="132">
        <f>E40/E37</f>
        <v/>
      </c>
      <c r="F41" s="279" t="n">
        <v>0.23</v>
      </c>
      <c r="G41" s="279" t="n">
        <v>0.23</v>
      </c>
      <c r="H41" s="279" t="n">
        <v>0.23</v>
      </c>
      <c r="I41" s="279" t="n">
        <v>0.23</v>
      </c>
      <c r="J41" s="279" t="n">
        <v>0.23</v>
      </c>
      <c r="O41" s="150" t="inlineStr">
        <is>
          <t>Research on EBITDA Margins in ETA - Thomas, Stevens, &amp; Wasserstein</t>
        </is>
      </c>
      <c r="XFD41" s="60" t="n"/>
    </row>
    <row r="42">
      <c r="B42" s="21" t="n"/>
      <c r="C42" s="132" t="n"/>
      <c r="D42" s="132" t="n"/>
      <c r="E42" s="132" t="n"/>
      <c r="F42" s="60" t="n"/>
      <c r="G42" s="60" t="n"/>
      <c r="H42" s="60" t="n"/>
      <c r="I42" s="60" t="n"/>
      <c r="J42" s="60" t="n"/>
      <c r="XFD42" s="60" t="n"/>
    </row>
    <row r="43">
      <c r="B43" s="18" t="inlineStr">
        <is>
          <t>GAAP EBITDA</t>
        </is>
      </c>
      <c r="C43" s="132" t="n"/>
      <c r="D43" s="132" t="n"/>
      <c r="E43" s="132" t="n"/>
      <c r="F43" s="214">
        <f>F40</f>
        <v/>
      </c>
      <c r="G43" s="214">
        <f>G40</f>
        <v/>
      </c>
      <c r="H43" s="214">
        <f>H40</f>
        <v/>
      </c>
      <c r="I43" s="214">
        <f>I40</f>
        <v/>
      </c>
      <c r="J43" s="214">
        <f>J40</f>
        <v/>
      </c>
      <c r="XFD43" s="60" t="n"/>
    </row>
    <row r="44">
      <c r="B44" s="18" t="inlineStr">
        <is>
          <t>Depreciation</t>
        </is>
      </c>
      <c r="C44" s="132" t="n"/>
      <c r="D44" s="132" t="n"/>
      <c r="E44" s="132" t="n"/>
      <c r="F44" s="215">
        <f>-($L$44*F37)</f>
        <v/>
      </c>
      <c r="G44" s="215">
        <f>-($L$44*G37)</f>
        <v/>
      </c>
      <c r="H44" s="215">
        <f>-($L$44*H37)</f>
        <v/>
      </c>
      <c r="I44" s="215">
        <f>-($L$44*I37)</f>
        <v/>
      </c>
      <c r="J44" s="215">
        <f>-($L$44*J37)</f>
        <v/>
      </c>
      <c r="L44" s="5" t="n">
        <v>0.01</v>
      </c>
      <c r="M44" s="18" t="inlineStr">
        <is>
          <t>% of Revenue</t>
        </is>
      </c>
      <c r="O44" s="144" t="inlineStr">
        <is>
          <t>*For asset-light search fund target businesses, depreciation will likely be minimal at around ~1-3% of revenue.</t>
        </is>
      </c>
      <c r="XFD44" s="60" t="n"/>
    </row>
    <row r="45">
      <c r="B45" s="65" t="inlineStr">
        <is>
          <t>EBIT</t>
        </is>
      </c>
      <c r="C45" s="66" t="n"/>
      <c r="D45" s="66" t="n"/>
      <c r="E45" s="66" t="n"/>
      <c r="F45" s="216">
        <f>SUM(F43:F44)</f>
        <v/>
      </c>
      <c r="G45" s="216">
        <f>SUM(G43:G44)</f>
        <v/>
      </c>
      <c r="H45" s="216">
        <f>SUM(H43:H44)</f>
        <v/>
      </c>
      <c r="I45" s="216">
        <f>SUM(I43:I44)</f>
        <v/>
      </c>
      <c r="J45" s="216">
        <f>SUM(J43:J44)</f>
        <v/>
      </c>
      <c r="L45" s="6" t="n"/>
      <c r="O45" s="145" t="n"/>
      <c r="XFD45" s="60" t="n"/>
    </row>
    <row r="46">
      <c r="B46" s="21" t="n"/>
      <c r="C46" s="132" t="n"/>
      <c r="D46" s="132" t="n"/>
      <c r="E46" s="132" t="n"/>
      <c r="F46" s="60" t="n"/>
      <c r="G46" s="60" t="n"/>
      <c r="H46" s="60" t="n"/>
      <c r="I46" s="60" t="n"/>
      <c r="J46" s="60" t="n"/>
      <c r="L46" s="6" t="n"/>
      <c r="O46" s="145" t="n"/>
      <c r="XFD46" s="60" t="n"/>
    </row>
    <row r="47">
      <c r="B47" s="18" t="inlineStr">
        <is>
          <t>Interest</t>
        </is>
      </c>
      <c r="C47" s="132" t="n"/>
      <c r="D47" s="132" t="n"/>
      <c r="E47" s="132" t="n"/>
      <c r="F47" s="251">
        <f>-F80-F89</f>
        <v/>
      </c>
      <c r="G47" s="251">
        <f>-G80-G89</f>
        <v/>
      </c>
      <c r="H47" s="251">
        <f>-H80-H89</f>
        <v/>
      </c>
      <c r="I47" s="251">
        <f>-I80-I89</f>
        <v/>
      </c>
      <c r="J47" s="251">
        <f>-J80-J89</f>
        <v/>
      </c>
      <c r="L47" s="6" t="n"/>
      <c r="O47" s="145" t="n"/>
      <c r="XFD47" s="60" t="n"/>
    </row>
    <row r="48">
      <c r="B48" s="65" t="inlineStr">
        <is>
          <t>EBT</t>
        </is>
      </c>
      <c r="C48" s="66" t="n"/>
      <c r="D48" s="66" t="n"/>
      <c r="E48" s="66" t="n"/>
      <c r="F48" s="252">
        <f>F45+F47</f>
        <v/>
      </c>
      <c r="G48" s="252">
        <f>G45+G47</f>
        <v/>
      </c>
      <c r="H48" s="252">
        <f>H45+H47</f>
        <v/>
      </c>
      <c r="I48" s="252">
        <f>I45+I47</f>
        <v/>
      </c>
      <c r="J48" s="252">
        <f>J45+J47</f>
        <v/>
      </c>
      <c r="L48" s="6" t="n"/>
      <c r="O48" s="148" t="n"/>
      <c r="P48" s="60" t="n"/>
      <c r="Q48" s="60" t="n"/>
      <c r="R48" s="60" t="n"/>
      <c r="S48" s="60" t="n"/>
      <c r="XFD48" s="60" t="n"/>
    </row>
    <row r="49">
      <c r="C49" s="132" t="n"/>
      <c r="D49" s="132" t="n"/>
      <c r="E49" s="132" t="n"/>
      <c r="F49" s="60" t="n"/>
      <c r="G49" s="60" t="n"/>
      <c r="H49" s="60" t="n"/>
      <c r="I49" s="60" t="n"/>
      <c r="J49" s="60" t="n"/>
      <c r="L49" s="6" t="n"/>
      <c r="O49" s="145" t="n"/>
      <c r="P49" s="75" t="n"/>
      <c r="Q49" s="75" t="n"/>
      <c r="R49" s="75" t="n"/>
      <c r="S49" s="75" t="n"/>
      <c r="T49" s="75" t="n"/>
      <c r="U49" s="75" t="n"/>
      <c r="XFD49" s="60" t="n"/>
    </row>
    <row r="50">
      <c r="B50" s="18" t="inlineStr">
        <is>
          <t>Taxes Owed / Distributed</t>
        </is>
      </c>
      <c r="C50" s="132" t="n"/>
      <c r="D50" s="132" t="n"/>
      <c r="E50" s="133">
        <f>IF(N24="LLC",45%,26.5%)</f>
        <v/>
      </c>
      <c r="F50" s="251">
        <f>-$E$50*F48</f>
        <v/>
      </c>
      <c r="G50" s="251">
        <f>-$E$50*G48</f>
        <v/>
      </c>
      <c r="H50" s="251">
        <f>-$E$50*H48</f>
        <v/>
      </c>
      <c r="I50" s="251">
        <f>-$E$50*I48</f>
        <v/>
      </c>
      <c r="J50" s="251">
        <f>-$E$50*J48</f>
        <v/>
      </c>
      <c r="N50" s="21" t="n"/>
      <c r="O50" s="145" t="n"/>
      <c r="P50" s="75" t="n"/>
      <c r="Q50" s="75" t="n"/>
      <c r="R50" s="75" t="n"/>
      <c r="S50" s="75" t="n"/>
      <c r="T50" s="75" t="n"/>
      <c r="U50" s="75" t="n"/>
      <c r="XFD50" s="60" t="n"/>
    </row>
    <row r="51">
      <c r="B51" s="65" t="inlineStr">
        <is>
          <t>Net Income</t>
        </is>
      </c>
      <c r="C51" s="66" t="n"/>
      <c r="D51" s="66" t="n"/>
      <c r="E51" s="132" t="n"/>
      <c r="F51" s="252">
        <f>F48+F50</f>
        <v/>
      </c>
      <c r="G51" s="252">
        <f>G48+G50</f>
        <v/>
      </c>
      <c r="H51" s="252">
        <f>H48+H50</f>
        <v/>
      </c>
      <c r="I51" s="252">
        <f>I48+I50</f>
        <v/>
      </c>
      <c r="J51" s="252">
        <f>J48+J50</f>
        <v/>
      </c>
      <c r="L51" s="6" t="n"/>
      <c r="O51" s="145" t="n"/>
      <c r="P51" s="75" t="n"/>
      <c r="Q51" s="75" t="n"/>
      <c r="R51" s="75" t="n"/>
      <c r="S51" s="75" t="n"/>
      <c r="T51" s="75" t="n"/>
      <c r="U51" s="75" t="n"/>
      <c r="XFD51" s="60" t="n"/>
    </row>
    <row r="52" ht="6.5" customHeight="1">
      <c r="L52" s="6" t="n"/>
      <c r="O52" s="145" t="n"/>
    </row>
    <row r="53">
      <c r="A53" s="6" t="inlineStr">
        <is>
          <t>x</t>
        </is>
      </c>
      <c r="B53" s="53" t="inlineStr">
        <is>
          <t>Cash Flow Statement</t>
        </is>
      </c>
      <c r="C53" s="53" t="n"/>
      <c r="D53" s="53" t="n"/>
      <c r="E53" s="53" t="n"/>
      <c r="F53" s="53" t="n"/>
      <c r="G53" s="53" t="n"/>
      <c r="H53" s="53" t="n"/>
      <c r="I53" s="53" t="n"/>
      <c r="J53" s="53" t="n"/>
      <c r="L53" s="6" t="n"/>
      <c r="O53" s="145" t="n"/>
    </row>
    <row r="54" ht="6.5" customHeight="1">
      <c r="L54" s="6" t="n"/>
      <c r="O54" s="145" t="n"/>
    </row>
    <row r="55">
      <c r="B55" s="18" t="inlineStr">
        <is>
          <t>Net Income</t>
        </is>
      </c>
      <c r="C55" s="62" t="n"/>
      <c r="D55" s="62" t="n"/>
      <c r="E55" s="62" t="n"/>
      <c r="F55" s="225">
        <f>F51</f>
        <v/>
      </c>
      <c r="G55" s="225">
        <f>G51</f>
        <v/>
      </c>
      <c r="H55" s="225">
        <f>H51</f>
        <v/>
      </c>
      <c r="I55" s="225">
        <f>I51</f>
        <v/>
      </c>
      <c r="J55" s="225">
        <f>J51</f>
        <v/>
      </c>
      <c r="L55" s="6" t="n"/>
      <c r="O55" s="145" t="n"/>
    </row>
    <row r="56">
      <c r="B56" s="69" t="inlineStr">
        <is>
          <t xml:space="preserve"> (+) D&amp;A</t>
        </is>
      </c>
      <c r="C56" s="62" t="n"/>
      <c r="D56" s="62" t="n"/>
      <c r="E56" s="62" t="n"/>
      <c r="F56" s="218">
        <f>-SUM(F44:F44)</f>
        <v/>
      </c>
      <c r="G56" s="218">
        <f>-SUM(G44:G44)</f>
        <v/>
      </c>
      <c r="H56" s="218">
        <f>-SUM(H44:H44)</f>
        <v/>
      </c>
      <c r="I56" s="218">
        <f>-SUM(I44:I44)</f>
        <v/>
      </c>
      <c r="J56" s="218">
        <f>-SUM(J44:J44)</f>
        <v/>
      </c>
      <c r="L56" s="6" t="n"/>
      <c r="O56" s="145" t="inlineStr">
        <is>
          <t>*You may be able to amortize a portion of the purchase price. This should be further diligenced with your legal counsel.</t>
        </is>
      </c>
    </row>
    <row r="57">
      <c r="B57" s="69" t="inlineStr">
        <is>
          <t xml:space="preserve"> (+) NWC </t>
        </is>
      </c>
      <c r="C57" s="62" t="n"/>
      <c r="D57" s="62" t="n"/>
      <c r="E57" s="62" t="n"/>
      <c r="F57" s="218">
        <f>$L$57*F37</f>
        <v/>
      </c>
      <c r="G57" s="218">
        <f>$L$57*G37</f>
        <v/>
      </c>
      <c r="H57" s="218">
        <f>$L$57*H37</f>
        <v/>
      </c>
      <c r="I57" s="218">
        <f>$L$57*I37</f>
        <v/>
      </c>
      <c r="J57" s="218">
        <f>$L$57*J37</f>
        <v/>
      </c>
      <c r="L57" s="5" t="n">
        <v>0.01</v>
      </c>
      <c r="M57" s="18" t="inlineStr">
        <is>
          <t>% of Revenue</t>
        </is>
      </c>
      <c r="O57" s="144" t="inlineStr">
        <is>
          <t>*For asset-light search fund target businesses, we recommend modeling this as a 1% of revenue source of cash to be conservative.</t>
        </is>
      </c>
    </row>
    <row r="58">
      <c r="B58" s="69" t="inlineStr">
        <is>
          <t xml:space="preserve"> (-) CAPEX</t>
        </is>
      </c>
      <c r="C58" s="62" t="n"/>
      <c r="D58" s="62" t="n"/>
      <c r="E58" s="62" t="n"/>
      <c r="F58" s="218">
        <f>-$L$58*F37</f>
        <v/>
      </c>
      <c r="G58" s="218">
        <f>-$L$58*G37</f>
        <v/>
      </c>
      <c r="H58" s="218">
        <f>-$L$58*H37</f>
        <v/>
      </c>
      <c r="I58" s="218">
        <f>-$L$58*I37</f>
        <v/>
      </c>
      <c r="J58" s="218">
        <f>-$L$58*J37</f>
        <v/>
      </c>
      <c r="L58" s="5" t="n">
        <v>0.01</v>
      </c>
      <c r="M58" s="18" t="inlineStr">
        <is>
          <t>% of Revenue</t>
        </is>
      </c>
      <c r="O58" s="144" t="inlineStr">
        <is>
          <t>*For asset-light search fund target businesses, CAPEX will likely be minimal at around ~1-3% of revenue.</t>
        </is>
      </c>
    </row>
    <row r="59">
      <c r="B59" s="69" t="inlineStr">
        <is>
          <t xml:space="preserve"> (-) Debt Paydown</t>
        </is>
      </c>
      <c r="C59" s="62" t="n"/>
      <c r="D59" s="62" t="n"/>
      <c r="E59" s="62" t="n"/>
      <c r="F59" s="218">
        <f>F77+F86</f>
        <v/>
      </c>
      <c r="G59" s="218">
        <f>G77+G86</f>
        <v/>
      </c>
      <c r="H59" s="218">
        <f>H77+H86</f>
        <v/>
      </c>
      <c r="I59" s="218">
        <f>I77+I86</f>
        <v/>
      </c>
      <c r="J59" s="218">
        <f>J77+J86</f>
        <v/>
      </c>
      <c r="O59" s="145" t="n"/>
    </row>
    <row r="60">
      <c r="B60" s="65" t="inlineStr">
        <is>
          <t>Cash after Debt</t>
        </is>
      </c>
      <c r="C60" s="70" t="n"/>
      <c r="D60" s="70" t="n"/>
      <c r="E60" s="70" t="n"/>
      <c r="F60" s="219">
        <f>SUM(F55:F59)</f>
        <v/>
      </c>
      <c r="G60" s="219">
        <f>SUM(G55:G59)</f>
        <v/>
      </c>
      <c r="H60" s="219">
        <f>SUM(H55:H59)</f>
        <v/>
      </c>
      <c r="I60" s="219">
        <f>SUM(I55:I59)</f>
        <v/>
      </c>
      <c r="J60" s="219">
        <f>SUM(J55:J59)</f>
        <v/>
      </c>
      <c r="O60" s="145" t="n"/>
    </row>
    <row r="61">
      <c r="C61" s="62" t="n"/>
      <c r="D61" s="62" t="n"/>
      <c r="E61" s="62" t="n"/>
      <c r="F61" s="218" t="n"/>
      <c r="G61" s="218" t="n"/>
      <c r="H61" s="218" t="n"/>
      <c r="I61" s="218" t="n"/>
      <c r="J61" s="218" t="n"/>
      <c r="O61" s="145" t="n"/>
    </row>
    <row r="62">
      <c r="B62" s="18" t="inlineStr">
        <is>
          <t>Cash for Earnout</t>
        </is>
      </c>
      <c r="C62" s="62" t="n"/>
      <c r="D62" s="62" t="n"/>
      <c r="E62" s="62" t="n"/>
      <c r="F62" s="220">
        <f>-F122</f>
        <v/>
      </c>
      <c r="G62" s="221" t="n"/>
      <c r="H62" s="221" t="n"/>
      <c r="I62" s="221" t="n"/>
      <c r="J62" s="221" t="n"/>
      <c r="O62" s="145" t="n"/>
    </row>
    <row r="63" ht="10" customHeight="1">
      <c r="C63" s="62" t="n"/>
      <c r="D63" s="62" t="n"/>
      <c r="E63" s="62" t="n"/>
      <c r="O63" s="145" t="n"/>
    </row>
    <row r="64" ht="10" customHeight="1">
      <c r="B64" s="18" t="inlineStr">
        <is>
          <t>Beginning Cash</t>
        </is>
      </c>
      <c r="C64" s="62" t="n"/>
      <c r="D64" s="62" t="n"/>
      <c r="E64" s="62" t="n"/>
      <c r="F64" s="222">
        <f>N22</f>
        <v/>
      </c>
      <c r="G64" s="222">
        <f>F70</f>
        <v/>
      </c>
      <c r="H64" s="222">
        <f>G70</f>
        <v/>
      </c>
      <c r="I64" s="222">
        <f>H70</f>
        <v/>
      </c>
      <c r="J64" s="222">
        <f>I70</f>
        <v/>
      </c>
      <c r="O64" s="145" t="n"/>
    </row>
    <row r="65">
      <c r="B65" s="69" t="inlineStr">
        <is>
          <t>(+/-) Change in Cash</t>
        </is>
      </c>
      <c r="C65" s="62" t="n"/>
      <c r="D65" s="62" t="n"/>
      <c r="E65" s="62" t="n"/>
      <c r="F65" s="218">
        <f>F60+F62</f>
        <v/>
      </c>
      <c r="G65" s="218">
        <f>G60++G62</f>
        <v/>
      </c>
      <c r="H65" s="218">
        <f>H60++H62</f>
        <v/>
      </c>
      <c r="I65" s="218">
        <f>I60++I62</f>
        <v/>
      </c>
      <c r="J65" s="218">
        <f>J60++J62</f>
        <v/>
      </c>
      <c r="O65" s="145" t="n"/>
    </row>
    <row r="66">
      <c r="B66" s="18" t="inlineStr">
        <is>
          <t>Ending Cash before Distributions</t>
        </is>
      </c>
      <c r="C66" s="62" t="n"/>
      <c r="D66" s="62" t="n"/>
      <c r="E66" s="62" t="n"/>
      <c r="F66" s="220">
        <f>SUM(F64:F65)</f>
        <v/>
      </c>
      <c r="G66" s="220">
        <f>SUM(G64:G65)</f>
        <v/>
      </c>
      <c r="H66" s="220">
        <f>SUM(H64:H65)</f>
        <v/>
      </c>
      <c r="I66" s="220">
        <f>SUM(I64:I65)</f>
        <v/>
      </c>
      <c r="J66" s="220">
        <f>SUM(J64:J65)</f>
        <v/>
      </c>
      <c r="O66" s="145" t="n"/>
    </row>
    <row r="67">
      <c r="B67" s="75" t="inlineStr">
        <is>
          <t>Check</t>
        </is>
      </c>
      <c r="C67" s="62" t="n"/>
      <c r="D67" s="62" t="n"/>
      <c r="E67" s="62" t="n"/>
      <c r="F67" s="75">
        <f>IF(F66&lt;0,1,0)</f>
        <v/>
      </c>
      <c r="G67" s="75">
        <f>IF(G66&lt;0,1,0)</f>
        <v/>
      </c>
      <c r="H67" s="75">
        <f>IF(H66&lt;0,1,0)</f>
        <v/>
      </c>
      <c r="I67" s="75">
        <f>IF(I66&lt;0,1,0)</f>
        <v/>
      </c>
      <c r="J67" s="75">
        <f>IF(J66&lt;0,1,0)</f>
        <v/>
      </c>
      <c r="O67" s="145" t="n"/>
    </row>
    <row r="68">
      <c r="B68" s="75" t="n"/>
      <c r="C68" s="62" t="n"/>
      <c r="D68" s="62" t="n"/>
      <c r="E68" s="62" t="n"/>
      <c r="F68" s="75" t="n"/>
      <c r="G68" s="75" t="n"/>
      <c r="H68" s="75" t="n"/>
      <c r="I68" s="75" t="n"/>
      <c r="J68" s="75" t="n"/>
      <c r="O68" s="145" t="n"/>
    </row>
    <row r="69">
      <c r="B69" s="143" t="inlineStr">
        <is>
          <t>(-)Distributions</t>
        </is>
      </c>
      <c r="C69" s="134" t="n"/>
      <c r="D69" s="134" t="n"/>
      <c r="E69" s="134" t="n"/>
      <c r="F69" s="36" t="n">
        <v>0</v>
      </c>
      <c r="G69" s="36" t="n">
        <v>0</v>
      </c>
      <c r="H69" s="186">
        <f>MAX(IF($N$23=1,1/3*H66,0),0)</f>
        <v/>
      </c>
      <c r="I69" s="186">
        <f>MAX(IF($N$23=1,1/3*I66,0),0)</f>
        <v/>
      </c>
      <c r="J69" s="186" t="n">
        <v>0</v>
      </c>
      <c r="O69" s="145" t="n"/>
    </row>
    <row r="70">
      <c r="B70" s="36" t="inlineStr">
        <is>
          <t>Ending Cash after Distributions</t>
        </is>
      </c>
      <c r="C70" s="134" t="n"/>
      <c r="D70" s="134" t="n"/>
      <c r="E70" s="134" t="n"/>
      <c r="F70" s="223">
        <f>F66-F69</f>
        <v/>
      </c>
      <c r="G70" s="223">
        <f>G66-G69</f>
        <v/>
      </c>
      <c r="H70" s="223">
        <f>H66-H69</f>
        <v/>
      </c>
      <c r="I70" s="223">
        <f>I66-I69</f>
        <v/>
      </c>
      <c r="J70" s="223">
        <f>J66-J69</f>
        <v/>
      </c>
      <c r="O70" s="145" t="n"/>
    </row>
    <row r="71">
      <c r="B71" s="75" t="n"/>
      <c r="C71" s="62" t="n"/>
      <c r="D71" s="62" t="n"/>
      <c r="E71" s="62" t="n"/>
      <c r="F71" s="75" t="n"/>
      <c r="G71" s="75" t="n"/>
      <c r="H71" s="224" t="n"/>
      <c r="I71" s="75" t="n"/>
      <c r="J71" s="75" t="n"/>
      <c r="O71" s="145" t="n"/>
    </row>
    <row r="72" ht="6.5" customHeight="1">
      <c r="O72" s="145" t="n"/>
    </row>
    <row r="73">
      <c r="A73" s="6" t="inlineStr">
        <is>
          <t>x</t>
        </is>
      </c>
      <c r="B73" s="53" t="inlineStr">
        <is>
          <t>Debt Schedule</t>
        </is>
      </c>
      <c r="C73" s="53" t="n"/>
      <c r="D73" s="53" t="n"/>
      <c r="E73" s="53" t="n"/>
      <c r="F73" s="53" t="n"/>
      <c r="G73" s="53" t="n"/>
      <c r="H73" s="53" t="n"/>
      <c r="I73" s="53" t="n"/>
      <c r="J73" s="53" t="n"/>
      <c r="O73" s="145" t="n"/>
    </row>
    <row r="74" ht="6.5" customHeight="1">
      <c r="O74" s="145" t="n"/>
    </row>
    <row r="75" ht="10" customHeight="1">
      <c r="B75" s="76" t="inlineStr">
        <is>
          <t>Term Loan</t>
        </is>
      </c>
      <c r="C75" s="62" t="n"/>
      <c r="D75" s="62" t="n"/>
      <c r="E75" s="62" t="n"/>
      <c r="O75" s="145" t="n"/>
    </row>
    <row r="76" ht="10" customHeight="1">
      <c r="B76" s="18" t="inlineStr">
        <is>
          <t>Beginning Balance</t>
        </is>
      </c>
      <c r="C76" s="62" t="n"/>
      <c r="D76" s="62" t="n"/>
      <c r="E76" s="62" t="n"/>
      <c r="F76" s="225">
        <f>C16</f>
        <v/>
      </c>
      <c r="G76" s="225">
        <f>F78</f>
        <v/>
      </c>
      <c r="H76" s="225">
        <f>G78</f>
        <v/>
      </c>
      <c r="I76" s="225">
        <f>H78</f>
        <v/>
      </c>
      <c r="J76" s="225">
        <f>I78</f>
        <v/>
      </c>
      <c r="O76" s="145" t="n"/>
    </row>
    <row r="77" ht="10" customHeight="1">
      <c r="B77" s="69" t="inlineStr">
        <is>
          <t>(-) Mandatory Amortization</t>
        </is>
      </c>
      <c r="C77" s="62" t="n"/>
      <c r="D77" s="62" t="n"/>
      <c r="E77" s="62" t="n"/>
      <c r="F77" s="226">
        <f>$F$76*-F82</f>
        <v/>
      </c>
      <c r="G77" s="226">
        <f>$F$76*-G82</f>
        <v/>
      </c>
      <c r="H77" s="226">
        <f>$F$76*-H82</f>
        <v/>
      </c>
      <c r="I77" s="226">
        <f>$F$76*-I82</f>
        <v/>
      </c>
      <c r="J77" s="226">
        <f>$F$76*-J82</f>
        <v/>
      </c>
      <c r="O77" s="145" t="n"/>
    </row>
    <row r="78" ht="10" customHeight="1">
      <c r="B78" s="18" t="inlineStr">
        <is>
          <t>Ending Balance</t>
        </is>
      </c>
      <c r="C78" s="62" t="n"/>
      <c r="D78" s="62" t="n"/>
      <c r="E78" s="62" t="n"/>
      <c r="F78" s="225">
        <f>SUM(F76:F77)</f>
        <v/>
      </c>
      <c r="G78" s="225">
        <f>SUM(G76:G77)</f>
        <v/>
      </c>
      <c r="H78" s="225">
        <f>SUM(H76:H77)</f>
        <v/>
      </c>
      <c r="I78" s="225">
        <f>SUM(I76:I77)</f>
        <v/>
      </c>
      <c r="J78" s="192">
        <f>SUM(J76:J77)</f>
        <v/>
      </c>
      <c r="O78" s="145" t="n"/>
    </row>
    <row r="79" ht="10" customHeight="1">
      <c r="C79" s="62" t="n"/>
      <c r="D79" s="62" t="n"/>
      <c r="E79" s="62" t="n"/>
      <c r="O79" s="145" t="n"/>
    </row>
    <row r="80" ht="10" customHeight="1">
      <c r="B80" s="18" t="inlineStr">
        <is>
          <t>Interest Expense</t>
        </is>
      </c>
      <c r="C80" s="62" t="n"/>
      <c r="D80" s="62" t="n"/>
      <c r="E80" s="62" t="n"/>
      <c r="F80" s="225">
        <f>F76*$L$80</f>
        <v/>
      </c>
      <c r="G80" s="225">
        <f>G76*$L$80</f>
        <v/>
      </c>
      <c r="H80" s="225">
        <f>H76*$L$80</f>
        <v/>
      </c>
      <c r="I80" s="225">
        <f>I76*$L$80</f>
        <v/>
      </c>
      <c r="J80" s="225">
        <f>J76*$L$80</f>
        <v/>
      </c>
      <c r="L80" s="5" t="n">
        <v>0.12</v>
      </c>
      <c r="M80" s="18" t="inlineStr">
        <is>
          <t>Interest Rate</t>
        </is>
      </c>
      <c r="O80" s="145" t="n"/>
    </row>
    <row r="81" ht="10" customHeight="1">
      <c r="C81" s="62" t="n"/>
      <c r="D81" s="62" t="n"/>
      <c r="E81" s="62" t="n"/>
      <c r="O81" s="145" t="n"/>
    </row>
    <row r="82" ht="10" customHeight="1">
      <c r="B82" s="18" t="inlineStr">
        <is>
          <t>Amortization Schedule</t>
        </is>
      </c>
      <c r="C82" s="62" t="n"/>
      <c r="D82" s="62" t="n"/>
      <c r="E82" s="62" t="n"/>
      <c r="F82" s="80" t="n">
        <v>0</v>
      </c>
      <c r="G82" s="80" t="n">
        <v>0</v>
      </c>
      <c r="H82" s="80" t="n">
        <v>0</v>
      </c>
      <c r="I82" s="80" t="n">
        <v>0</v>
      </c>
      <c r="J82" s="80" t="n">
        <v>1</v>
      </c>
      <c r="L82" s="153">
        <f>IF(SUM(F82:J82)=100%,"Check","Paydown doesn't add to 100%")</f>
        <v/>
      </c>
      <c r="O82" s="144" t="inlineStr">
        <is>
          <t>*Adjust amort schedule to account for term and amort of term loan debt. For bank lenders, we often see amortization schedules of  20%|20%|20%|20%|20% for non bank lenders we often see 0%|0%|0%|0%|100%.</t>
        </is>
      </c>
    </row>
    <row r="83" ht="10" customHeight="1">
      <c r="C83" s="62" t="n"/>
      <c r="D83" s="62" t="n"/>
      <c r="E83" s="62" t="n"/>
      <c r="O83" s="145" t="n"/>
    </row>
    <row r="84" ht="10" customHeight="1">
      <c r="B84" s="76" t="inlineStr">
        <is>
          <t>Seller Debt</t>
        </is>
      </c>
      <c r="C84" s="62" t="n"/>
      <c r="D84" s="62" t="n"/>
      <c r="E84" s="62" t="n"/>
      <c r="F84" s="81" t="n"/>
      <c r="G84" s="81" t="n"/>
      <c r="H84" s="81" t="n"/>
      <c r="I84" s="81" t="n"/>
      <c r="J84" s="81" t="n"/>
      <c r="N84" s="18" t="inlineStr">
        <is>
          <t>`</t>
        </is>
      </c>
      <c r="O84" s="145" t="n"/>
    </row>
    <row r="85" ht="10" customHeight="1">
      <c r="B85" s="18" t="inlineStr">
        <is>
          <t>Balance</t>
        </is>
      </c>
      <c r="C85" s="62" t="n"/>
      <c r="D85" s="62" t="n"/>
      <c r="E85" s="62" t="n"/>
      <c r="F85" s="225">
        <f>C17</f>
        <v/>
      </c>
      <c r="G85" s="225">
        <f>F87</f>
        <v/>
      </c>
      <c r="H85" s="225">
        <f>G87</f>
        <v/>
      </c>
      <c r="I85" s="225">
        <f>H87</f>
        <v/>
      </c>
      <c r="J85" s="225">
        <f>I87</f>
        <v/>
      </c>
      <c r="L85" s="20" t="n"/>
      <c r="O85" s="144" t="n"/>
    </row>
    <row r="86" ht="10" customHeight="1">
      <c r="B86" s="69" t="inlineStr">
        <is>
          <t>(-) Paydown</t>
        </is>
      </c>
      <c r="C86" s="62" t="n"/>
      <c r="D86" s="62" t="n"/>
      <c r="E86" s="62" t="n"/>
      <c r="F86" s="226">
        <f>$F$85*-F91</f>
        <v/>
      </c>
      <c r="G86" s="226">
        <f>$F$85*-G91</f>
        <v/>
      </c>
      <c r="H86" s="226">
        <f>$F$85*-H91</f>
        <v/>
      </c>
      <c r="I86" s="226">
        <f>$F$85*-I91</f>
        <v/>
      </c>
      <c r="J86" s="226">
        <f>$F$85*-J91</f>
        <v/>
      </c>
      <c r="L86" s="20" t="n"/>
      <c r="O86" s="145" t="n"/>
    </row>
    <row r="87" ht="10" customHeight="1">
      <c r="B87" s="18" t="inlineStr">
        <is>
          <t>Ending Balance</t>
        </is>
      </c>
      <c r="C87" s="62" t="n"/>
      <c r="D87" s="62" t="n"/>
      <c r="E87" s="62" t="n"/>
      <c r="F87" s="225">
        <f>SUM(F85:F86)</f>
        <v/>
      </c>
      <c r="G87" s="225">
        <f>SUM(G85:G86)</f>
        <v/>
      </c>
      <c r="H87" s="225">
        <f>SUM(H85:H86)</f>
        <v/>
      </c>
      <c r="I87" s="225">
        <f>SUM(I85:I86)</f>
        <v/>
      </c>
      <c r="J87" s="192">
        <f>SUM(J85:J86)</f>
        <v/>
      </c>
      <c r="O87" s="145" t="n"/>
    </row>
    <row r="88" ht="10" customHeight="1">
      <c r="C88" s="62" t="n"/>
      <c r="D88" s="62" t="n"/>
      <c r="E88" s="62" t="n"/>
      <c r="O88" s="145" t="n"/>
    </row>
    <row r="89" ht="10" customHeight="1">
      <c r="B89" s="18" t="inlineStr">
        <is>
          <t>Interest Expense</t>
        </is>
      </c>
      <c r="C89" s="62" t="n"/>
      <c r="D89" s="62" t="n"/>
      <c r="E89" s="62" t="n"/>
      <c r="F89" s="225">
        <f>$L$89*F85</f>
        <v/>
      </c>
      <c r="G89" s="225">
        <f>$L$89*G85</f>
        <v/>
      </c>
      <c r="H89" s="225">
        <f>$L$89*H85</f>
        <v/>
      </c>
      <c r="I89" s="225">
        <f>$L$89*I85</f>
        <v/>
      </c>
      <c r="J89" s="225">
        <f>$L$89*J85</f>
        <v/>
      </c>
      <c r="L89" s="5" t="n">
        <v>0.08</v>
      </c>
      <c r="M89" s="18" t="inlineStr">
        <is>
          <t>Interest Rate</t>
        </is>
      </c>
      <c r="O89" s="145" t="n"/>
    </row>
    <row r="90" ht="10" customHeight="1">
      <c r="C90" s="62" t="n"/>
      <c r="D90" s="62" t="n"/>
      <c r="E90" s="62" t="n"/>
      <c r="F90" s="225" t="n"/>
      <c r="G90" s="225" t="n"/>
      <c r="H90" s="225" t="n"/>
      <c r="I90" s="225" t="n"/>
      <c r="J90" s="225" t="n"/>
      <c r="L90" s="18" t="n"/>
      <c r="O90" s="145" t="n"/>
    </row>
    <row r="91" ht="10" customHeight="1">
      <c r="B91" s="18" t="inlineStr">
        <is>
          <t>Amortization Schedule</t>
        </is>
      </c>
      <c r="C91" s="62" t="n"/>
      <c r="D91" s="62" t="n"/>
      <c r="E91" s="62" t="n"/>
      <c r="F91" s="80" t="n">
        <v>0</v>
      </c>
      <c r="G91" s="80" t="n">
        <v>0</v>
      </c>
      <c r="H91" s="80" t="n">
        <v>0</v>
      </c>
      <c r="I91" s="80" t="n">
        <v>0</v>
      </c>
      <c r="J91" s="80" t="n">
        <v>1</v>
      </c>
      <c r="L91" s="153">
        <f>IF(SUM(F91:J91)=100%,"Check","Paydown doesn't add to 100%")</f>
        <v/>
      </c>
      <c r="O91" s="144" t="inlineStr">
        <is>
          <t>*Adjust amort schedule to account for term and amort of seller debt. It is difficult to have seller debt amortize while term loan debt is still outstanding.</t>
        </is>
      </c>
    </row>
    <row r="92" ht="10" customHeight="1">
      <c r="C92" s="62" t="n"/>
      <c r="D92" s="62" t="n"/>
      <c r="E92" s="62" t="n"/>
      <c r="O92" s="145" t="n"/>
    </row>
    <row r="93" ht="10" customHeight="1">
      <c r="B93" s="76" t="inlineStr">
        <is>
          <t>Debt Metrics</t>
        </is>
      </c>
      <c r="C93" s="62" t="n"/>
      <c r="D93" s="62" t="n"/>
      <c r="E93" s="62" t="n"/>
      <c r="O93" s="145" t="n"/>
    </row>
    <row r="94" ht="10" customHeight="1">
      <c r="B94" s="18" t="inlineStr">
        <is>
          <t>Total Senior Leverage</t>
        </is>
      </c>
      <c r="C94" s="62" t="n"/>
      <c r="D94" s="62" t="n"/>
      <c r="E94" s="62" t="n"/>
      <c r="F94" s="227">
        <f>F78/F43</f>
        <v/>
      </c>
      <c r="G94" s="227">
        <f>G78/G43</f>
        <v/>
      </c>
      <c r="H94" s="227">
        <f>H78/H43</f>
        <v/>
      </c>
      <c r="I94" s="227">
        <f>I78/I43</f>
        <v/>
      </c>
      <c r="J94" s="227">
        <f>J78/J43</f>
        <v/>
      </c>
      <c r="O94" s="147" t="inlineStr">
        <is>
          <t>*These are examples of metrics that may be tested as covenants in term loan agreements. These are more typical for EBITDA based debt. ARR debt covenants may include tests of retention, profitability, and liquidity.</t>
        </is>
      </c>
    </row>
    <row r="95" ht="10" customHeight="1">
      <c r="B95" s="18" t="inlineStr">
        <is>
          <t>Total Leverage</t>
        </is>
      </c>
      <c r="C95" s="62" t="n"/>
      <c r="D95" s="62" t="n"/>
      <c r="E95" s="62" t="n"/>
      <c r="F95" s="227">
        <f>(F78+F87)/F43</f>
        <v/>
      </c>
      <c r="G95" s="227">
        <f>(G78+G87)/G43</f>
        <v/>
      </c>
      <c r="H95" s="227">
        <f>(H78+H87)/H43</f>
        <v/>
      </c>
      <c r="I95" s="227">
        <f>(I78+I87)/I43</f>
        <v/>
      </c>
      <c r="J95" s="227">
        <f>(J78+J87)/J43</f>
        <v/>
      </c>
      <c r="O95" s="145" t="n"/>
    </row>
    <row r="96" ht="10" customHeight="1">
      <c r="B96" s="18" t="inlineStr">
        <is>
          <t>Fixed Charge Coverage Ratio</t>
        </is>
      </c>
      <c r="C96" s="62" t="n"/>
      <c r="D96" s="62" t="n"/>
      <c r="E96" s="62" t="n"/>
      <c r="F96" s="228">
        <f>F40/(-F77+F80+-F86+F89-F58-F50+F69-F62)</f>
        <v/>
      </c>
      <c r="G96" s="228">
        <f>G40/(-G77+G80+-G86+G89-G58-G50+G69-G62)</f>
        <v/>
      </c>
      <c r="H96" s="228">
        <f>H40/(-H77+H80+-H86+H89-H58-H50+H69-H62)</f>
        <v/>
      </c>
      <c r="I96" s="228">
        <f>I40/(-I77+I80+-I86+I89-I58-I50+I69-I62)</f>
        <v/>
      </c>
      <c r="J96" s="228">
        <f>J40/(-J77+J80+-J86+J89-J58-J50+J69-J62)</f>
        <v/>
      </c>
      <c r="K96" s="2" t="n"/>
      <c r="M96" s="173" t="n"/>
      <c r="O96" s="145" t="n"/>
    </row>
    <row r="97" ht="6.5" customHeight="1">
      <c r="O97" s="145" t="n"/>
    </row>
    <row r="98">
      <c r="B98" s="182" t="inlineStr">
        <is>
          <t xml:space="preserve">Returns Analysis - 5 Year Hold </t>
        </is>
      </c>
      <c r="O98" s="145" t="n"/>
    </row>
    <row r="99" ht="6.5" customHeight="1">
      <c r="O99" s="145" t="n"/>
    </row>
    <row r="100">
      <c r="A100" s="6" t="inlineStr">
        <is>
          <t>x</t>
        </is>
      </c>
      <c r="B100" s="53" t="inlineStr">
        <is>
          <t xml:space="preserve">Deal Structure </t>
        </is>
      </c>
      <c r="C100" s="53" t="n"/>
      <c r="D100" s="53" t="n"/>
      <c r="E100" s="53" t="n"/>
      <c r="F100" s="53" t="n"/>
      <c r="G100" s="53" t="n"/>
      <c r="H100" s="53" t="n"/>
      <c r="I100" s="53" t="n"/>
      <c r="J100" s="53" t="n"/>
      <c r="O100" s="147" t="n"/>
    </row>
    <row r="101" ht="6.5" customHeight="1">
      <c r="O101" s="145" t="n"/>
    </row>
    <row r="102">
      <c r="B102" s="18" t="inlineStr">
        <is>
          <t>Searcher(s) Common Equity</t>
        </is>
      </c>
      <c r="D102" s="82" t="n">
        <v>0.25</v>
      </c>
      <c r="F102" s="18" t="inlineStr">
        <is>
          <t>Circuit Breaker (0=Off)</t>
        </is>
      </c>
      <c r="H102" s="198" t="n">
        <v>1</v>
      </c>
      <c r="O102" s="147" t="inlineStr">
        <is>
          <t>*If the model is getting errors turn this to 0 and back to 1.</t>
        </is>
      </c>
    </row>
    <row r="103">
      <c r="B103" s="18" t="inlineStr">
        <is>
          <t>Vested Employee Incentive Pool</t>
        </is>
      </c>
      <c r="D103" s="83" t="n">
        <v>0.05</v>
      </c>
      <c r="O103" s="147" t="inlineStr">
        <is>
          <t>*25% equity for solo searches and 30% for partnered searches.</t>
        </is>
      </c>
    </row>
    <row r="104">
      <c r="E104" s="6" t="n"/>
      <c r="F104" s="18" t="inlineStr">
        <is>
          <t>Search Capital</t>
        </is>
      </c>
      <c r="H104" s="229" t="n">
        <v>500</v>
      </c>
      <c r="L104" s="24" t="n"/>
      <c r="O104" s="145" t="n"/>
    </row>
    <row r="105">
      <c r="B105" s="18" t="inlineStr">
        <is>
          <t>Searcher(s) Equity (at close)</t>
        </is>
      </c>
      <c r="D105" s="85">
        <f>$D$102/3</f>
        <v/>
      </c>
      <c r="E105" s="86" t="n"/>
      <c r="F105" s="18" t="inlineStr">
        <is>
          <t>Step-Up</t>
        </is>
      </c>
      <c r="H105" s="230" t="n">
        <v>1.5</v>
      </c>
      <c r="L105" s="20" t="n"/>
      <c r="O105" s="145" t="n"/>
    </row>
    <row r="106">
      <c r="B106" s="18" t="inlineStr">
        <is>
          <t>Searcher(s) Equity (time vest)</t>
        </is>
      </c>
      <c r="D106" s="85">
        <f>$D$102/3</f>
        <v/>
      </c>
      <c r="E106" s="86" t="n"/>
      <c r="J106" s="9" t="n"/>
      <c r="O106" s="145" t="n"/>
    </row>
    <row r="107">
      <c r="B107" s="18" t="inlineStr">
        <is>
          <t>Searcher(s) Equity (performance)</t>
        </is>
      </c>
      <c r="D107" s="85">
        <f>$D$102/3</f>
        <v/>
      </c>
      <c r="F107" s="18" t="inlineStr">
        <is>
          <t>Investor Cap Gains Rate</t>
        </is>
      </c>
      <c r="H107" s="83" t="n">
        <v>0.3</v>
      </c>
      <c r="L107" s="9" t="n"/>
      <c r="O107" s="145" t="n"/>
    </row>
    <row r="108">
      <c r="B108" s="65" t="inlineStr">
        <is>
          <t>Total</t>
        </is>
      </c>
      <c r="C108" s="65" t="n"/>
      <c r="D108" s="87">
        <f>SUM(D105:D107)</f>
        <v/>
      </c>
      <c r="E108" s="86" t="n"/>
      <c r="L108" s="9" t="n"/>
      <c r="O108" s="145" t="n"/>
    </row>
    <row r="109">
      <c r="O109" s="145" t="n"/>
    </row>
    <row r="110">
      <c r="B110" s="18" t="inlineStr">
        <is>
          <t>Minimum IRR Hurdle</t>
        </is>
      </c>
      <c r="D110" s="83" t="n">
        <v>0.2</v>
      </c>
      <c r="H110" s="179" t="inlineStr">
        <is>
          <t>Vested</t>
        </is>
      </c>
      <c r="I110" s="179" t="inlineStr">
        <is>
          <t>Total</t>
        </is>
      </c>
      <c r="J110" s="179" t="inlineStr">
        <is>
          <t>%</t>
        </is>
      </c>
      <c r="O110" s="145" t="n"/>
    </row>
    <row r="111">
      <c r="B111" s="18" t="inlineStr">
        <is>
          <t>Maximum IRR Hurdle</t>
        </is>
      </c>
      <c r="D111" s="83" t="n">
        <v>0.35</v>
      </c>
      <c r="F111" s="18" t="inlineStr">
        <is>
          <t>Preferred Units</t>
        </is>
      </c>
      <c r="H111" s="231">
        <f>I111</f>
        <v/>
      </c>
      <c r="I111" s="231">
        <f>F117*1000</f>
        <v/>
      </c>
      <c r="J111" s="176">
        <f>1-D102</f>
        <v/>
      </c>
      <c r="O111" s="145" t="n"/>
    </row>
    <row r="112">
      <c r="F112" s="18" t="inlineStr">
        <is>
          <t>Common Units</t>
        </is>
      </c>
      <c r="H112" s="231">
        <f>I112*D114/D108</f>
        <v/>
      </c>
      <c r="I112" s="231">
        <f>I113-I111</f>
        <v/>
      </c>
      <c r="J112" s="176">
        <f>I112/I113</f>
        <v/>
      </c>
      <c r="O112" s="145" t="n"/>
    </row>
    <row r="113">
      <c r="B113" s="18" t="inlineStr">
        <is>
          <t>Vested Performance Equity</t>
        </is>
      </c>
      <c r="D113" s="232">
        <f>IF(J146&gt;D111,D107,IF(J146&lt;D110,0,(J146-D110)/(D111-D110))*D107)</f>
        <v/>
      </c>
      <c r="F113" s="65" t="inlineStr">
        <is>
          <t>Total</t>
        </is>
      </c>
      <c r="G113" s="65" t="n"/>
      <c r="H113" s="233">
        <f>SUM(H111:H112)</f>
        <v/>
      </c>
      <c r="I113" s="233">
        <f>I111/J111</f>
        <v/>
      </c>
      <c r="J113" s="234">
        <f>I113/I113</f>
        <v/>
      </c>
      <c r="L113" s="90" t="n"/>
      <c r="O113" s="145" t="n"/>
    </row>
    <row r="114">
      <c r="B114" s="18" t="inlineStr">
        <is>
          <t>Total Searcher Vested Equity</t>
        </is>
      </c>
      <c r="D114" s="232">
        <f>D113+D106+D105</f>
        <v/>
      </c>
      <c r="F114" s="89" t="n"/>
      <c r="L114" s="90" t="n"/>
      <c r="O114" s="145" t="n"/>
    </row>
    <row r="115">
      <c r="O115" s="145" t="n"/>
    </row>
    <row r="116">
      <c r="B116" s="76" t="inlineStr">
        <is>
          <t>Preferred Equity</t>
        </is>
      </c>
      <c r="O116" s="145" t="n"/>
    </row>
    <row r="117">
      <c r="B117" s="18" t="inlineStr">
        <is>
          <t>Beginning Balance</t>
        </is>
      </c>
      <c r="F117" s="220">
        <f>C23+(H105*H104)</f>
        <v/>
      </c>
      <c r="G117" s="220">
        <f>F120</f>
        <v/>
      </c>
      <c r="H117" s="220">
        <f>G120</f>
        <v/>
      </c>
      <c r="I117" s="220">
        <f>H120</f>
        <v/>
      </c>
      <c r="J117" s="220">
        <f>I120</f>
        <v/>
      </c>
      <c r="O117" s="145" t="n"/>
    </row>
    <row r="118" ht="10" customHeight="1">
      <c r="B118" s="18" t="inlineStr">
        <is>
          <t>(+) Preferred Return</t>
        </is>
      </c>
      <c r="D118" s="83" t="n">
        <v>0.08</v>
      </c>
      <c r="F118" s="226">
        <f>F117*$D$118</f>
        <v/>
      </c>
      <c r="G118" s="218">
        <f>G117*$D$118</f>
        <v/>
      </c>
      <c r="H118" s="218">
        <f>H117*$D$118</f>
        <v/>
      </c>
      <c r="I118" s="218">
        <f>I117*$D$118</f>
        <v/>
      </c>
      <c r="J118" s="218">
        <f>J117*$D$118</f>
        <v/>
      </c>
      <c r="M118" s="254" t="n"/>
      <c r="O118" s="145" t="n"/>
    </row>
    <row r="119" ht="10" customHeight="1">
      <c r="B119" s="136" t="inlineStr">
        <is>
          <t>(-) Distributions</t>
        </is>
      </c>
      <c r="D119" s="137" t="n"/>
      <c r="F119" s="226">
        <f>-F69</f>
        <v/>
      </c>
      <c r="G119" s="226">
        <f>-G69</f>
        <v/>
      </c>
      <c r="H119" s="226">
        <f>-H69</f>
        <v/>
      </c>
      <c r="I119" s="226">
        <f>-I69</f>
        <v/>
      </c>
      <c r="J119" s="226">
        <f>-J69</f>
        <v/>
      </c>
      <c r="M119" s="236" t="n"/>
      <c r="N119" s="218" t="n"/>
      <c r="O119" s="145" t="n"/>
    </row>
    <row r="120">
      <c r="B120" s="18" t="inlineStr">
        <is>
          <t>Ending Balance</t>
        </is>
      </c>
      <c r="F120" s="220">
        <f>SUM(F117:F119)</f>
        <v/>
      </c>
      <c r="G120" s="220">
        <f>SUM(G117:G119)</f>
        <v/>
      </c>
      <c r="H120" s="220">
        <f>SUM(H117:H119)</f>
        <v/>
      </c>
      <c r="I120" s="220">
        <f>SUM(I117:I119)</f>
        <v/>
      </c>
      <c r="J120" s="220">
        <f>SUM(J117:J119)</f>
        <v/>
      </c>
      <c r="N120" s="218" t="n"/>
      <c r="O120" s="145" t="n"/>
    </row>
    <row r="121">
      <c r="O121" s="145" t="n"/>
    </row>
    <row r="122" ht="10" customHeight="1">
      <c r="B122" s="18" t="inlineStr">
        <is>
          <t>Earnout</t>
        </is>
      </c>
      <c r="F122" s="225">
        <f>IF(N26=1,IF(F37&gt;N28,N27,0),0)</f>
        <v/>
      </c>
      <c r="G122" s="221" t="n"/>
      <c r="H122" s="221" t="n"/>
      <c r="I122" s="221" t="n"/>
      <c r="J122" s="221" t="n"/>
      <c r="O122" s="145" t="n"/>
    </row>
    <row r="123" ht="6.5" customHeight="1">
      <c r="O123" s="145" t="n"/>
    </row>
    <row r="124">
      <c r="A124" s="6" t="inlineStr">
        <is>
          <t>x</t>
        </is>
      </c>
      <c r="B124" s="53" t="inlineStr">
        <is>
          <t>Exit Waterfall &amp; Returns</t>
        </is>
      </c>
      <c r="C124" s="53" t="n"/>
      <c r="D124" s="53" t="n"/>
      <c r="E124" s="53" t="n"/>
      <c r="F124" s="53" t="n"/>
      <c r="G124" s="53" t="n"/>
      <c r="H124" s="53" t="n"/>
      <c r="I124" s="53" t="n"/>
      <c r="J124" s="53" t="n"/>
      <c r="O124" s="145" t="n"/>
    </row>
    <row r="125" ht="6.5" customHeight="1">
      <c r="O125" s="145" t="n"/>
    </row>
    <row r="126">
      <c r="B126" s="18">
        <f>CONCATENATE("LTM "&amp;N129&amp;"")</f>
        <v/>
      </c>
      <c r="J126" s="220">
        <f>IF(N128="EBITDA",J40,J34)</f>
        <v/>
      </c>
      <c r="L126" s="30" t="inlineStr">
        <is>
          <t>Exit Assumptions</t>
        </is>
      </c>
      <c r="M126" s="31" t="n"/>
      <c r="N126" s="32" t="n"/>
      <c r="O126" s="145" t="n"/>
    </row>
    <row r="127">
      <c r="B127" s="9" t="inlineStr">
        <is>
          <t>(x) Multiple</t>
        </is>
      </c>
      <c r="J127" s="228">
        <f>N131</f>
        <v/>
      </c>
      <c r="L127" s="33" t="inlineStr">
        <is>
          <t>TEV @ Entry</t>
        </is>
      </c>
      <c r="N127" s="240">
        <f>N15</f>
        <v/>
      </c>
      <c r="O127" s="145" t="n"/>
    </row>
    <row r="128">
      <c r="B128" s="65" t="inlineStr">
        <is>
          <t>Total Enterprise Value</t>
        </is>
      </c>
      <c r="C128" s="65" t="n"/>
      <c r="D128" s="65" t="n"/>
      <c r="E128" s="65" t="n"/>
      <c r="F128" s="65" t="n"/>
      <c r="G128" s="65" t="n"/>
      <c r="H128" s="65" t="n"/>
      <c r="I128" s="65" t="n"/>
      <c r="J128" s="219">
        <f>J126*J127</f>
        <v/>
      </c>
      <c r="L128" s="3" t="inlineStr">
        <is>
          <t>Multiple @ Entry</t>
        </is>
      </c>
      <c r="N128" s="22">
        <f>N16</f>
        <v/>
      </c>
      <c r="O128" s="145" t="n"/>
    </row>
    <row r="129">
      <c r="B129" s="69" t="inlineStr">
        <is>
          <t>(+) Cash</t>
        </is>
      </c>
      <c r="J129" s="218">
        <f>J70</f>
        <v/>
      </c>
      <c r="L129" s="33" t="inlineStr">
        <is>
          <t>Multiple @ Exit</t>
        </is>
      </c>
      <c r="N129" s="22">
        <f>N128</f>
        <v/>
      </c>
      <c r="O129" s="145" t="n"/>
    </row>
    <row r="130">
      <c r="B130" s="69" t="inlineStr">
        <is>
          <t>(-) Debt</t>
        </is>
      </c>
      <c r="J130" s="92">
        <f>-J78-J87</f>
        <v/>
      </c>
      <c r="L130" s="33" t="inlineStr">
        <is>
          <t>Entry Multiple</t>
        </is>
      </c>
      <c r="N130" s="241">
        <f>IF(N128="EBITDA",N127/E40,N127/E34)</f>
        <v/>
      </c>
      <c r="O130" s="145" t="n"/>
    </row>
    <row r="131">
      <c r="B131" s="65" t="inlineStr">
        <is>
          <t>Total Equity Value</t>
        </is>
      </c>
      <c r="C131" s="65" t="n"/>
      <c r="D131" s="65" t="n"/>
      <c r="E131" s="65" t="n"/>
      <c r="F131" s="65" t="n"/>
      <c r="G131" s="65" t="n"/>
      <c r="H131" s="65" t="n"/>
      <c r="I131" s="65" t="n"/>
      <c r="J131" s="219">
        <f>SUM(J128:J130)</f>
        <v/>
      </c>
      <c r="L131" s="33" t="inlineStr">
        <is>
          <t>Exit Multiple</t>
        </is>
      </c>
      <c r="N131" s="241" t="n">
        <v>3.5</v>
      </c>
      <c r="O131" s="144" t="inlineStr">
        <is>
          <t>*For base case, we don't recommend underwriting to multiple expansion; this can be upside at exit.</t>
        </is>
      </c>
    </row>
    <row r="132">
      <c r="B132" s="9" t="inlineStr">
        <is>
          <t>(-) Preferred Return</t>
        </is>
      </c>
      <c r="J132" s="218">
        <f>MAX(MIN(J120-F117,J131),0)</f>
        <v/>
      </c>
      <c r="L132" s="19" t="inlineStr">
        <is>
          <t>Searcher(s) Catch Up</t>
        </is>
      </c>
      <c r="M132" s="52" t="n"/>
      <c r="N132" s="198" t="n">
        <v>1</v>
      </c>
      <c r="O132" s="145" t="n"/>
      <c r="P132" s="21" t="n"/>
    </row>
    <row r="133">
      <c r="B133" s="9" t="inlineStr">
        <is>
          <t>(-) Return of Capital</t>
        </is>
      </c>
      <c r="J133" s="92">
        <f>MIN(MIN(F117,J131-J132),J120)</f>
        <v/>
      </c>
      <c r="P133" s="21" t="n"/>
    </row>
    <row r="134">
      <c r="B134" s="65" t="inlineStr">
        <is>
          <t>Equity Available to Common</t>
        </is>
      </c>
      <c r="C134" s="65" t="n"/>
      <c r="D134" s="65" t="n"/>
      <c r="E134" s="65" t="n"/>
      <c r="F134" s="65" t="n"/>
      <c r="G134" s="65" t="n"/>
      <c r="H134" s="65" t="n"/>
      <c r="I134" s="65" t="n"/>
      <c r="J134" s="219">
        <f>J131-J132-J133</f>
        <v/>
      </c>
      <c r="L134" s="218" t="n"/>
      <c r="P134" s="21" t="n"/>
    </row>
    <row r="135">
      <c r="B135" s="69" t="inlineStr">
        <is>
          <t>(-) Searcher(s) Catch Up</t>
        </is>
      </c>
      <c r="J135" s="218">
        <f>IF($H$102=0,0,IF($N$132=0,0,MIN((SUM(F118:J118)*(H112/H111)*(D113/D107)),$J$134)))</f>
        <v/>
      </c>
      <c r="L135" s="235" t="n"/>
      <c r="M135" s="255" t="n"/>
      <c r="P135" s="21" t="n"/>
    </row>
    <row r="136">
      <c r="B136" s="65" t="inlineStr">
        <is>
          <t>Common Proceeds</t>
        </is>
      </c>
      <c r="C136" s="65" t="n"/>
      <c r="D136" s="65" t="n"/>
      <c r="E136" s="65" t="n"/>
      <c r="F136" s="65" t="n"/>
      <c r="G136" s="65" t="n"/>
      <c r="H136" s="65" t="n"/>
      <c r="I136" s="65" t="n"/>
      <c r="J136" s="219">
        <f>J134-J135</f>
        <v/>
      </c>
      <c r="L136" s="239" t="n"/>
      <c r="M136" s="242" t="n"/>
      <c r="P136" s="21" t="n"/>
    </row>
    <row r="137">
      <c r="B137" s="18" t="inlineStr">
        <is>
          <t>Employees</t>
        </is>
      </c>
      <c r="I137" s="232">
        <f>D103</f>
        <v/>
      </c>
      <c r="J137" s="218">
        <f>I137*J136</f>
        <v/>
      </c>
      <c r="L137" s="218" t="n"/>
      <c r="M137" s="239" t="n"/>
    </row>
    <row r="138">
      <c r="B138" s="18" t="inlineStr">
        <is>
          <t xml:space="preserve">Investors </t>
        </is>
      </c>
      <c r="I138" s="232">
        <f>1-I139-I137</f>
        <v/>
      </c>
      <c r="J138" s="218">
        <f>I138*J136</f>
        <v/>
      </c>
      <c r="L138" s="232" t="n"/>
    </row>
    <row r="139">
      <c r="B139" s="18" t="inlineStr">
        <is>
          <t>Searcher(s)</t>
        </is>
      </c>
      <c r="I139" s="232">
        <f>IF(H102=0,0,(D105+D106+D113)*(1-$I$137))</f>
        <v/>
      </c>
      <c r="J139" s="218">
        <f>I139*J136</f>
        <v/>
      </c>
      <c r="L139" s="218" t="n"/>
    </row>
    <row r="140">
      <c r="B140" s="75" t="inlineStr">
        <is>
          <t>Check</t>
        </is>
      </c>
      <c r="C140" s="75" t="n"/>
      <c r="D140" s="75" t="n"/>
      <c r="E140" s="75" t="n"/>
      <c r="F140" s="75" t="n"/>
      <c r="G140" s="75" t="n"/>
      <c r="H140" s="75" t="n"/>
      <c r="I140" s="224">
        <f>SUM(I137:I139)-100%</f>
        <v/>
      </c>
      <c r="J140" s="224">
        <f>SUM(J137:J139)-J136</f>
        <v/>
      </c>
      <c r="M140" s="220" t="n"/>
    </row>
    <row r="141">
      <c r="B141" s="75" t="n"/>
      <c r="C141" s="75" t="n"/>
      <c r="D141" s="75" t="n"/>
      <c r="E141" s="75" t="n"/>
      <c r="F141" s="75" t="n"/>
      <c r="G141" s="75" t="n"/>
      <c r="H141" s="75" t="n"/>
      <c r="I141" s="224" t="n"/>
      <c r="J141" s="224" t="n"/>
    </row>
    <row r="142">
      <c r="B142" s="138" t="inlineStr">
        <is>
          <t>Tax Distribution Benefit for IRR</t>
        </is>
      </c>
      <c r="C142" s="139" t="n"/>
      <c r="D142" s="139" t="n"/>
      <c r="E142" s="139" t="n"/>
      <c r="F142" s="139" t="n"/>
      <c r="G142" s="139" t="n"/>
      <c r="H142" s="139" t="n"/>
      <c r="I142" s="243" t="n"/>
      <c r="J142" s="244">
        <f>IF(N24="LLC",H107*SUM(F51:J51),0)</f>
        <v/>
      </c>
    </row>
    <row r="143">
      <c r="B143" s="76" t="n"/>
    </row>
    <row r="144">
      <c r="B144" s="94" t="inlineStr">
        <is>
          <t>Preferred IRR Calc</t>
        </is>
      </c>
      <c r="C144" s="245" t="n"/>
      <c r="D144" s="70" t="n"/>
      <c r="E144" s="246">
        <f>-C23</f>
        <v/>
      </c>
      <c r="F144" s="246">
        <f>F69</f>
        <v/>
      </c>
      <c r="G144" s="246">
        <f>G69</f>
        <v/>
      </c>
      <c r="H144" s="246">
        <f>H69</f>
        <v/>
      </c>
      <c r="I144" s="246">
        <f>I69</f>
        <v/>
      </c>
      <c r="J144" s="247">
        <f>J138+J132+J133+J142</f>
        <v/>
      </c>
      <c r="M144" s="21" t="n"/>
      <c r="P144" s="21" t="n"/>
    </row>
    <row r="145">
      <c r="B145" s="96" t="n"/>
      <c r="C145" s="62" t="n"/>
      <c r="D145" s="62" t="n"/>
      <c r="E145" s="62" t="n"/>
      <c r="F145" s="62" t="n"/>
      <c r="G145" s="62" t="n"/>
      <c r="H145" s="62" t="n"/>
      <c r="I145" s="62" t="n"/>
      <c r="J145" s="97" t="n"/>
      <c r="M145" s="21" t="n"/>
    </row>
    <row r="146">
      <c r="B146" s="96" t="n"/>
      <c r="C146" s="62" t="n"/>
      <c r="D146" s="62" t="n"/>
      <c r="E146" s="62" t="n"/>
      <c r="F146" s="62" t="n"/>
      <c r="G146" s="62" t="n"/>
      <c r="H146" s="98" t="inlineStr">
        <is>
          <t>IRR</t>
        </is>
      </c>
      <c r="I146" s="62" t="n"/>
      <c r="J146" s="99">
        <f>IRR(E144:J144)</f>
        <v/>
      </c>
    </row>
    <row r="147">
      <c r="B147" s="96" t="n"/>
      <c r="C147" s="62" t="n"/>
      <c r="D147" s="62" t="n"/>
      <c r="E147" s="62" t="n"/>
      <c r="F147" s="62" t="n"/>
      <c r="G147" s="62" t="n"/>
      <c r="H147" s="98" t="inlineStr">
        <is>
          <t>MOIC</t>
        </is>
      </c>
      <c r="I147" s="62" t="n"/>
      <c r="J147" s="100">
        <f>J144/-E144</f>
        <v/>
      </c>
    </row>
    <row r="148">
      <c r="B148" s="101" t="n"/>
      <c r="C148" s="102" t="n"/>
      <c r="D148" s="102" t="n"/>
      <c r="E148" s="102" t="n"/>
      <c r="F148" s="102" t="n"/>
      <c r="G148" s="102" t="n"/>
      <c r="H148" s="26" t="inlineStr">
        <is>
          <t>$s to Searcher(s)</t>
        </is>
      </c>
      <c r="I148" s="102" t="n"/>
      <c r="J148" s="248">
        <f>J139+J135</f>
        <v/>
      </c>
    </row>
    <row r="149">
      <c r="A149" s="6" t="inlineStr">
        <is>
          <t>x</t>
        </is>
      </c>
    </row>
  </sheetData>
  <mergeCells count="2">
    <mergeCell ref="B28:J28"/>
    <mergeCell ref="B98:J98"/>
  </mergeCells>
  <hyperlinks>
    <hyperlink xmlns:r="http://schemas.openxmlformats.org/officeDocument/2006/relationships" ref="O18" display="https://www.gsb.stanford.edu/faculty-research/case-studies/2024-search-fund-study" r:id="rId1"/>
    <hyperlink xmlns:r="http://schemas.openxmlformats.org/officeDocument/2006/relationships" ref="O25" r:id="rId2"/>
    <hyperlink xmlns:r="http://schemas.openxmlformats.org/officeDocument/2006/relationships" ref="O41" display="Research" r:id="rId3"/>
  </hyperlinks>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Melissa Kaplan</dc:creator>
  <dcterms:created xmlns:dcterms="http://purl.org/dc/terms/" xmlns:xsi="http://www.w3.org/2001/XMLSchema-instance" xsi:type="dcterms:W3CDTF">2025-09-10T17:47:06Z</dcterms:created>
  <dcterms:modified xmlns:dcterms="http://purl.org/dc/terms/" xmlns:xsi="http://www.w3.org/2001/XMLSchema-instance" xsi:type="dcterms:W3CDTF">2026-07-30T01:34:53Z</dcterms:modified>
  <cp:lastModifiedBy>K Sch</cp:lastModifiedBy>
</cp:coreProperties>
</file>