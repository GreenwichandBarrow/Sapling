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8900" yWindow="600" windowWidth="20500" windowHeight="15900" tabRatio="600" firstSheet="0" activeTab="2" autoFilterDateGrouping="1"/>
  </bookViews>
  <sheets>
    <sheet xmlns:r="http://schemas.openxmlformats.org/officeDocument/2006/relationships" name="Pest Single Acquisition" sheetId="1" state="visible" r:id="rId1"/>
    <sheet xmlns:r="http://schemas.openxmlformats.org/officeDocument/2006/relationships" name="Pest Base Case" sheetId="2" state="visible" r:id="rId2"/>
    <sheet xmlns:r="http://schemas.openxmlformats.org/officeDocument/2006/relationships" name="M&amp;A Schedule" sheetId="3" state="visible" r:id="rId3"/>
    <sheet xmlns:r="http://schemas.openxmlformats.org/officeDocument/2006/relationships" name="Stress Tests" sheetId="4" state="visible" r:id="rId4"/>
    <sheet xmlns:r="http://schemas.openxmlformats.org/officeDocument/2006/relationships" name="Investor Questions" sheetId="5" state="visible" r:id="rId5"/>
    <sheet xmlns:r="http://schemas.openxmlformats.org/officeDocument/2006/relationships" name="Source Notes" sheetId="6" state="visible" r:id="rId6"/>
    <sheet xmlns:r="http://schemas.openxmlformats.org/officeDocument/2006/relationships" name="Model Template" sheetId="7" state="visible" r:id="rId7"/>
    <sheet xmlns:r="http://schemas.openxmlformats.org/officeDocument/2006/relationships" name="Growth" sheetId="8" state="visible" r:id="rId8"/>
    <sheet xmlns:r="http://schemas.openxmlformats.org/officeDocument/2006/relationships" name="Value" sheetId="9" state="visible" r:id="rId9"/>
  </sheets>
  <definedNames/>
  <calcPr calcId="191029" calcMode="auto" fullCalcOnLoad="1" iterate="1" forceFullCalc="1"/>
</workbook>
</file>

<file path=xl/styles.xml><?xml version="1.0" encoding="utf-8"?>
<styleSheet xmlns="http://schemas.openxmlformats.org/spreadsheetml/2006/main">
  <numFmts count="23">
    <numFmt numFmtId="164" formatCode="0.0\x;\(0.0\x\);&quot;–&quot;"/>
    <numFmt numFmtId="165" formatCode="##,##0;\(##,##0\)"/>
    <numFmt numFmtId="166" formatCode="&quot;$&quot;#,#00"/>
    <numFmt numFmtId="167" formatCode="0.0\x"/>
    <numFmt numFmtId="168" formatCode="0.0"/>
    <numFmt numFmtId="169" formatCode="##,##0.0;\(##,##0.0\)"/>
    <numFmt numFmtId="170" formatCode="&quot;$&quot;#,#00;\(&quot;$&quot;#,#00\)"/>
    <numFmt numFmtId="171" formatCode="\-"/>
    <numFmt numFmtId="172" formatCode="&quot;$&quot;##,##0;\(&quot;$&quot;##,##0\)"/>
    <numFmt numFmtId="173" formatCode="#%"/>
    <numFmt numFmtId="174" formatCode="&quot;$&quot;#,##0.00_);\(&quot;$&quot;#,##0.00\)"/>
    <numFmt numFmtId="175" formatCode="yyyy;@"/>
    <numFmt numFmtId="176" formatCode="mm\-dd\-yyyy;@"/>
    <numFmt numFmtId="177" formatCode="0.0000"/>
    <numFmt numFmtId="178" formatCode="#0%"/>
    <numFmt numFmtId="179" formatCode="#0.00%"/>
    <numFmt numFmtId="180" formatCode="#0.0000%"/>
    <numFmt numFmtId="181" formatCode="&quot;$&quot;#,##0.00"/>
    <numFmt numFmtId="182" formatCode="&quot;$&quot;#,##0.0_);\(&quot;$&quot;#,##0.0\)"/>
    <numFmt numFmtId="183" formatCode="$#,##0;[Red]($#,##0);-"/>
    <numFmt numFmtId="184" formatCode="0.0%"/>
    <numFmt numFmtId="185" formatCode="0.0x"/>
    <numFmt numFmtId="186" formatCode="0.00x"/>
  </numFmts>
  <fonts count="31">
    <font>
      <name val="Aptos Narrow"/>
      <family val="2"/>
      <color theme="1"/>
      <sz val="11"/>
      <scheme val="minor"/>
    </font>
    <font>
      <name val="Aptos Narrow"/>
      <family val="2"/>
      <color theme="1"/>
      <sz val="11"/>
      <scheme val="minor"/>
    </font>
    <font>
      <name val="Arial"/>
      <family val="2"/>
      <color theme="0"/>
      <sz val="20"/>
    </font>
    <font>
      <name val="Arial"/>
      <family val="2"/>
      <color theme="1"/>
      <sz val="8"/>
    </font>
    <font>
      <name val="Arial"/>
      <family val="2"/>
      <color theme="0"/>
      <sz val="8"/>
    </font>
    <font>
      <name val="Arial"/>
      <family val="2"/>
      <i val="1"/>
      <color theme="1"/>
      <sz val="8"/>
    </font>
    <font>
      <name val="Arial"/>
      <family val="2"/>
      <color theme="1"/>
      <sz val="8"/>
      <u val="single"/>
    </font>
    <font>
      <name val="Arial"/>
      <family val="2"/>
      <color rgb="FF0000FF"/>
      <sz val="8"/>
    </font>
    <font>
      <name val="Arial"/>
      <family val="2"/>
      <sz val="8"/>
    </font>
    <font>
      <name val="Arial"/>
      <family val="2"/>
      <b val="1"/>
      <color theme="0"/>
      <sz val="8"/>
    </font>
    <font>
      <name val="Arial"/>
      <family val="2"/>
      <b val="1"/>
      <color theme="1"/>
      <sz val="8"/>
      <u val="single"/>
    </font>
    <font>
      <name val="Arial"/>
      <family val="2"/>
      <i val="1"/>
      <color rgb="FF0000FF"/>
      <sz val="8"/>
    </font>
    <font>
      <name val="Arial"/>
      <family val="2"/>
      <color rgb="FF000000"/>
      <sz val="8"/>
    </font>
    <font>
      <name val="Arial"/>
      <family val="2"/>
      <color theme="2"/>
      <sz val="8"/>
    </font>
    <font>
      <name val="Arial"/>
      <family val="2"/>
      <color rgb="FFFF0000"/>
      <sz val="8"/>
    </font>
    <font>
      <name val="Arial"/>
      <family val="2"/>
      <b val="1"/>
      <color rgb="FFFF0000"/>
      <sz val="8"/>
    </font>
    <font>
      <name val="Aptos Narrow"/>
      <family val="2"/>
      <color theme="10"/>
      <sz val="11"/>
      <u val="single"/>
      <scheme val="minor"/>
    </font>
    <font>
      <name val="Arial"/>
      <family val="2"/>
      <i val="1"/>
      <color theme="5"/>
      <sz val="8"/>
    </font>
    <font>
      <name val="Arial"/>
      <family val="2"/>
      <b val="1"/>
      <color theme="1"/>
      <sz val="8"/>
    </font>
    <font>
      <name val="Arial"/>
      <family val="2"/>
      <i val="1"/>
      <color rgb="FFFF0000"/>
      <sz val="8"/>
    </font>
    <font>
      <name val="Arial"/>
      <family val="2"/>
      <b val="1"/>
      <sz val="8"/>
      <u val="single"/>
    </font>
    <font>
      <name val="Arial"/>
      <family val="2"/>
      <i val="1"/>
      <sz val="8"/>
    </font>
    <font>
      <name val="Arial"/>
      <family val="2"/>
      <i val="1"/>
      <color theme="1" tint="0.3499862666707358"/>
      <sz val="8"/>
    </font>
    <font>
      <name val="Arial"/>
      <family val="2"/>
      <color theme="1" tint="0.3499862666707358"/>
      <sz val="8"/>
    </font>
    <font>
      <name val="Arial"/>
      <family val="2"/>
      <i val="1"/>
      <color rgb="FF0000FF"/>
      <sz val="8"/>
      <u val="single"/>
    </font>
    <font>
      <name val="Arial"/>
      <family val="2"/>
      <color rgb="FFFF8000"/>
      <sz val="8"/>
    </font>
    <font>
      <b val="1"/>
      <color rgb="001F4E79"/>
      <sz val="16"/>
    </font>
    <font>
      <i val="1"/>
      <color rgb="00666666"/>
    </font>
    <font>
      <b val="1"/>
      <color rgb="00FFFFFF"/>
    </font>
    <font>
      <b val="1"/>
    </font>
    <font>
      <b val="1"/>
      <color rgb="00000000"/>
    </font>
  </fonts>
  <fills count="13">
    <fill>
      <patternFill/>
    </fill>
    <fill>
      <patternFill patternType="gray125"/>
    </fill>
    <fill>
      <patternFill patternType="solid">
        <fgColor theme="4"/>
        <bgColor indexed="64"/>
      </patternFill>
    </fill>
    <fill>
      <patternFill patternType="solid">
        <fgColor rgb="FF002060"/>
        <bgColor indexed="64"/>
      </patternFill>
    </fill>
    <fill>
      <patternFill patternType="solid">
        <fgColor rgb="FFFFF2CC"/>
        <bgColor indexed="64"/>
      </patternFill>
    </fill>
    <fill>
      <patternFill patternType="solid">
        <fgColor rgb="FFC9DAF8"/>
        <bgColor indexed="64"/>
      </patternFill>
    </fill>
    <fill>
      <patternFill patternType="solid">
        <fgColor theme="1"/>
        <bgColor indexed="64"/>
      </patternFill>
    </fill>
    <fill>
      <patternFill patternType="solid">
        <fgColor theme="0"/>
        <bgColor indexed="64"/>
      </patternFill>
    </fill>
    <fill>
      <patternFill patternType="solid">
        <fgColor theme="9" tint="0.7999816888943144"/>
        <bgColor indexed="64"/>
      </patternFill>
    </fill>
    <fill>
      <patternFill patternType="solid">
        <fgColor rgb="001F4E79"/>
      </patternFill>
    </fill>
    <fill>
      <patternFill patternType="solid">
        <fgColor rgb="00FFF2CC"/>
      </patternFill>
    </fill>
    <fill>
      <patternFill patternType="solid">
        <fgColor rgb="00E2F0D9"/>
      </patternFill>
    </fill>
    <fill>
      <patternFill patternType="solid">
        <fgColor rgb="00E7E6E6"/>
      </patternFill>
    </fill>
  </fills>
  <borders count="1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bottom style="thin">
        <color rgb="00D9E1F2"/>
      </bottom>
    </border>
  </borders>
  <cellStyleXfs count="3">
    <xf numFmtId="0" fontId="1" fillId="0" borderId="0"/>
    <xf numFmtId="9" fontId="1" fillId="0" borderId="0"/>
    <xf numFmtId="0" fontId="16" fillId="0" borderId="0"/>
  </cellStyleXfs>
  <cellXfs count="274">
    <xf numFmtId="0" fontId="0" fillId="0" borderId="0" pivotButton="0" quotePrefix="0" xfId="0"/>
    <xf numFmtId="0" fontId="4" fillId="2" borderId="0" applyAlignment="1" pivotButton="0" quotePrefix="0" xfId="0">
      <alignment horizontal="center"/>
    </xf>
    <xf numFmtId="0" fontId="3" fillId="0" borderId="0" applyAlignment="1" pivotButton="0" quotePrefix="0" xfId="0">
      <alignment horizontal="center"/>
    </xf>
    <xf numFmtId="0" fontId="3" fillId="0" borderId="6" applyAlignment="1" pivotButton="0" quotePrefix="0" xfId="0">
      <alignment horizontal="left"/>
    </xf>
    <xf numFmtId="9" fontId="7" fillId="0" borderId="7" applyAlignment="1" pivotButton="0" quotePrefix="0" xfId="0">
      <alignment horizontal="right"/>
    </xf>
    <xf numFmtId="9" fontId="7" fillId="4" borderId="2" applyAlignment="1" pivotButton="0" quotePrefix="0" xfId="0">
      <alignment horizontal="center"/>
    </xf>
    <xf numFmtId="0" fontId="3" fillId="0" borderId="0" applyAlignment="1" pivotButton="0" quotePrefix="0" xfId="0">
      <alignment horizontal="right"/>
    </xf>
    <xf numFmtId="164" fontId="7" fillId="0" borderId="7" applyAlignment="1" pivotButton="0" quotePrefix="0" xfId="0">
      <alignment horizontal="right"/>
    </xf>
    <xf numFmtId="0" fontId="15" fillId="0" borderId="10" applyAlignment="1" pivotButton="0" quotePrefix="0" xfId="0">
      <alignment horizontal="center"/>
    </xf>
    <xf numFmtId="0" fontId="3" fillId="0" borderId="0" applyAlignment="1" pivotButton="0" quotePrefix="0" xfId="0">
      <alignment horizontal="left"/>
    </xf>
    <xf numFmtId="165" fontId="7" fillId="4" borderId="2" applyAlignment="1" pivotButton="0" quotePrefix="0" xfId="0">
      <alignment horizontal="right"/>
    </xf>
    <xf numFmtId="0" fontId="7" fillId="4" borderId="2" applyAlignment="1" pivotButton="0" quotePrefix="0" xfId="0">
      <alignment horizontal="right"/>
    </xf>
    <xf numFmtId="164" fontId="3" fillId="0" borderId="0" applyAlignment="1" pivotButton="0" quotePrefix="0" xfId="0">
      <alignment horizontal="right"/>
    </xf>
    <xf numFmtId="9" fontId="8" fillId="0" borderId="7" pivotButton="0" quotePrefix="0" xfId="1"/>
    <xf numFmtId="9" fontId="8" fillId="0" borderId="9" pivotButton="0" quotePrefix="0" xfId="1"/>
    <xf numFmtId="9" fontId="3" fillId="7" borderId="12" pivotButton="0" quotePrefix="0" xfId="1"/>
    <xf numFmtId="0" fontId="15" fillId="0" borderId="12" applyAlignment="1" pivotButton="0" quotePrefix="0" xfId="0">
      <alignment horizontal="center"/>
    </xf>
    <xf numFmtId="166" fontId="7" fillId="0" borderId="7" applyAlignment="1" pivotButton="0" quotePrefix="0" xfId="0">
      <alignment horizontal="right"/>
    </xf>
    <xf numFmtId="0" fontId="3" fillId="0" borderId="0" pivotButton="0" quotePrefix="0" xfId="0"/>
    <xf numFmtId="0" fontId="3" fillId="0" borderId="8" applyAlignment="1" pivotButton="0" quotePrefix="0" xfId="0">
      <alignment horizontal="left"/>
    </xf>
    <xf numFmtId="0" fontId="5" fillId="0" borderId="0" applyAlignment="1" pivotButton="0" quotePrefix="0" xfId="0">
      <alignment horizontal="left"/>
    </xf>
    <xf numFmtId="0" fontId="5" fillId="0" borderId="0" pivotButton="0" quotePrefix="0" xfId="0"/>
    <xf numFmtId="0" fontId="3" fillId="0" borderId="7" applyAlignment="1" pivotButton="0" quotePrefix="0" xfId="0">
      <alignment horizontal="right"/>
    </xf>
    <xf numFmtId="164" fontId="3" fillId="0" borderId="7" pivotButton="0" quotePrefix="0" xfId="0"/>
    <xf numFmtId="0" fontId="5" fillId="0" borderId="0" applyAlignment="1" pivotButton="0" quotePrefix="0" xfId="0">
      <alignment horizontal="center"/>
    </xf>
    <xf numFmtId="165" fontId="3" fillId="0" borderId="0" pivotButton="0" quotePrefix="0" xfId="0"/>
    <xf numFmtId="0" fontId="18" fillId="5" borderId="1" applyAlignment="1" pivotButton="0" quotePrefix="0" xfId="0">
      <alignment horizontal="left"/>
    </xf>
    <xf numFmtId="0" fontId="2" fillId="2" borderId="0" pivotButton="0" quotePrefix="0" xfId="0"/>
    <xf numFmtId="0" fontId="4" fillId="2" borderId="0" pivotButton="0" quotePrefix="0" xfId="0"/>
    <xf numFmtId="0" fontId="15" fillId="0" borderId="11" pivotButton="0" quotePrefix="0" xfId="0"/>
    <xf numFmtId="0" fontId="9" fillId="3" borderId="3" pivotButton="0" quotePrefix="0" xfId="0"/>
    <xf numFmtId="0" fontId="4" fillId="3" borderId="4" pivotButton="0" quotePrefix="0" xfId="0"/>
    <xf numFmtId="0" fontId="4" fillId="3" borderId="5" pivotButton="0" quotePrefix="0" xfId="0"/>
    <xf numFmtId="0" fontId="3" fillId="0" borderId="6" pivotButton="0" quotePrefix="0" xfId="0"/>
    <xf numFmtId="166" fontId="8" fillId="0" borderId="0" pivotButton="0" quotePrefix="0" xfId="0"/>
    <xf numFmtId="167" fontId="8" fillId="0" borderId="0" pivotButton="0" quotePrefix="0" xfId="0"/>
    <xf numFmtId="0" fontId="8" fillId="0" borderId="0" pivotButton="0" quotePrefix="0" xfId="0"/>
    <xf numFmtId="0" fontId="8" fillId="0" borderId="6" pivotButton="0" quotePrefix="0" xfId="0"/>
    <xf numFmtId="0" fontId="3" fillId="0" borderId="8" pivotButton="0" quotePrefix="0" xfId="0"/>
    <xf numFmtId="3" fontId="8" fillId="0" borderId="1" pivotButton="0" quotePrefix="0" xfId="0"/>
    <xf numFmtId="167" fontId="8" fillId="0" borderId="1" pivotButton="0" quotePrefix="0" xfId="0"/>
    <xf numFmtId="165" fontId="8" fillId="0" borderId="0" pivotButton="0" quotePrefix="0" xfId="0"/>
    <xf numFmtId="168" fontId="8" fillId="0" borderId="0" pivotButton="0" quotePrefix="0" xfId="0"/>
    <xf numFmtId="3" fontId="8" fillId="0" borderId="0" pivotButton="0" quotePrefix="0" xfId="0"/>
    <xf numFmtId="169" fontId="8" fillId="0" borderId="0" pivotButton="0" quotePrefix="0" xfId="0"/>
    <xf numFmtId="0" fontId="8" fillId="0" borderId="7" pivotButton="0" quotePrefix="0" xfId="0"/>
    <xf numFmtId="0" fontId="3" fillId="0" borderId="7" pivotButton="0" quotePrefix="0" xfId="0"/>
    <xf numFmtId="170" fontId="7" fillId="0" borderId="7" pivotButton="0" quotePrefix="0" xfId="0"/>
    <xf numFmtId="0" fontId="3" fillId="7" borderId="10" pivotButton="0" quotePrefix="0" xfId="0"/>
    <xf numFmtId="166" fontId="3" fillId="7" borderId="11" pivotButton="0" quotePrefix="0" xfId="0"/>
    <xf numFmtId="167" fontId="3" fillId="7" borderId="11" pivotButton="0" quotePrefix="0" xfId="0"/>
    <xf numFmtId="0" fontId="3" fillId="7" borderId="0" pivotButton="0" quotePrefix="0" xfId="0"/>
    <xf numFmtId="0" fontId="3" fillId="0" borderId="1" pivotButton="0" quotePrefix="0" xfId="0"/>
    <xf numFmtId="0" fontId="9" fillId="6" borderId="0" pivotButton="0" quotePrefix="0" xfId="0"/>
    <xf numFmtId="0" fontId="4" fillId="6" borderId="0" pivotButton="0" quotePrefix="0" xfId="0"/>
    <xf numFmtId="0" fontId="3" fillId="6" borderId="0" pivotButton="0" quotePrefix="0" xfId="0"/>
    <xf numFmtId="166" fontId="7" fillId="5" borderId="0" pivotButton="0" quotePrefix="0" xfId="0"/>
    <xf numFmtId="166" fontId="3" fillId="0" borderId="0" pivotButton="0" quotePrefix="0" xfId="0"/>
    <xf numFmtId="0" fontId="5" fillId="5" borderId="0" pivotButton="0" quotePrefix="0" xfId="0"/>
    <xf numFmtId="9" fontId="5" fillId="5" borderId="0" pivotButton="0" quotePrefix="0" xfId="1"/>
    <xf numFmtId="9" fontId="11" fillId="0" borderId="0" pivotButton="0" quotePrefix="0" xfId="1"/>
    <xf numFmtId="9" fontId="7" fillId="0" borderId="0" pivotButton="0" quotePrefix="0" xfId="1"/>
    <xf numFmtId="0" fontId="3" fillId="5" borderId="0" pivotButton="0" quotePrefix="0" xfId="0"/>
    <xf numFmtId="166" fontId="12" fillId="0" borderId="0" pivotButton="0" quotePrefix="0" xfId="1"/>
    <xf numFmtId="165" fontId="8" fillId="0" borderId="0" pivotButton="0" quotePrefix="0" xfId="1"/>
    <xf numFmtId="0" fontId="3" fillId="0" borderId="4" pivotButton="0" quotePrefix="0" xfId="0"/>
    <xf numFmtId="9" fontId="5" fillId="5" borderId="4" pivotButton="0" quotePrefix="0" xfId="1"/>
    <xf numFmtId="166" fontId="8" fillId="0" borderId="4" pivotButton="0" quotePrefix="0" xfId="1"/>
    <xf numFmtId="170" fontId="8" fillId="0" borderId="0" pivotButton="0" quotePrefix="0" xfId="1"/>
    <xf numFmtId="0" fontId="3" fillId="0" borderId="0" applyAlignment="1" pivotButton="0" quotePrefix="1" xfId="0">
      <alignment horizontal="left"/>
    </xf>
    <xf numFmtId="0" fontId="3" fillId="5" borderId="4" pivotButton="0" quotePrefix="0" xfId="0"/>
    <xf numFmtId="170" fontId="3" fillId="0" borderId="4" pivotButton="0" quotePrefix="0" xfId="0"/>
    <xf numFmtId="170" fontId="3" fillId="0" borderId="0" pivotButton="0" quotePrefix="0" xfId="0"/>
    <xf numFmtId="171" fontId="3" fillId="0" borderId="0" pivotButton="0" quotePrefix="0" xfId="0"/>
    <xf numFmtId="170" fontId="12" fillId="0" borderId="0" pivotButton="0" quotePrefix="0" xfId="0"/>
    <xf numFmtId="0" fontId="14" fillId="0" borderId="0" pivotButton="0" quotePrefix="0" xfId="0"/>
    <xf numFmtId="0" fontId="6" fillId="0" borderId="0" pivotButton="0" quotePrefix="0" xfId="0"/>
    <xf numFmtId="172" fontId="3" fillId="0" borderId="0" pivotButton="0" quotePrefix="0" xfId="0"/>
    <xf numFmtId="165" fontId="12" fillId="0" borderId="0" pivotButton="0" quotePrefix="0" xfId="0"/>
    <xf numFmtId="172" fontId="8" fillId="0" borderId="0" pivotButton="0" quotePrefix="0" xfId="0"/>
    <xf numFmtId="9" fontId="7" fillId="0" borderId="0" pivotButton="0" quotePrefix="0" xfId="0"/>
    <xf numFmtId="0" fontId="13" fillId="0" borderId="0" pivotButton="0" quotePrefix="0" xfId="0"/>
    <xf numFmtId="9" fontId="7" fillId="4" borderId="13" pivotButton="0" quotePrefix="0" xfId="0"/>
    <xf numFmtId="9" fontId="7" fillId="4" borderId="2" pivotButton="0" quotePrefix="0" xfId="0"/>
    <xf numFmtId="170" fontId="7" fillId="4" borderId="2" pivotButton="0" quotePrefix="0" xfId="0"/>
    <xf numFmtId="9" fontId="3" fillId="0" borderId="0" pivotButton="0" quotePrefix="0" xfId="1"/>
    <xf numFmtId="9" fontId="3" fillId="0" borderId="0" pivotButton="0" quotePrefix="0" xfId="0"/>
    <xf numFmtId="9" fontId="3" fillId="0" borderId="4" pivotButton="0" quotePrefix="0" xfId="0"/>
    <xf numFmtId="173" fontId="3" fillId="0" borderId="0" pivotButton="0" quotePrefix="0" xfId="0"/>
    <xf numFmtId="2" fontId="3" fillId="0" borderId="0" pivotButton="0" quotePrefix="0" xfId="0"/>
    <xf numFmtId="0" fontId="17" fillId="0" borderId="0" pivotButton="0" quotePrefix="0" xfId="0"/>
    <xf numFmtId="170" fontId="3" fillId="0" borderId="7" pivotButton="0" quotePrefix="0" xfId="0"/>
    <xf numFmtId="3" fontId="3" fillId="0" borderId="0" pivotButton="0" quotePrefix="0" xfId="0"/>
    <xf numFmtId="165" fontId="14" fillId="0" borderId="0" pivotButton="0" quotePrefix="0" xfId="0"/>
    <xf numFmtId="0" fontId="18" fillId="5" borderId="3" pivotButton="0" quotePrefix="0" xfId="0"/>
    <xf numFmtId="165" fontId="3" fillId="5" borderId="4" pivotButton="0" quotePrefix="0" xfId="0"/>
    <xf numFmtId="0" fontId="3" fillId="5" borderId="6" pivotButton="0" quotePrefix="0" xfId="0"/>
    <xf numFmtId="0" fontId="3" fillId="5" borderId="7" pivotButton="0" quotePrefix="0" xfId="0"/>
    <xf numFmtId="0" fontId="18" fillId="5" borderId="0" pivotButton="0" quotePrefix="0" xfId="0"/>
    <xf numFmtId="9" fontId="3" fillId="5" borderId="7" pivotButton="0" quotePrefix="0" xfId="0"/>
    <xf numFmtId="167" fontId="3" fillId="5" borderId="7" pivotButton="0" quotePrefix="0" xfId="0"/>
    <xf numFmtId="0" fontId="3" fillId="5" borderId="8" pivotButton="0" quotePrefix="0" xfId="0"/>
    <xf numFmtId="0" fontId="3" fillId="5" borderId="1" pivotButton="0" quotePrefix="0" xfId="0"/>
    <xf numFmtId="170" fontId="3" fillId="5" borderId="9" pivotButton="0" quotePrefix="0" xfId="0"/>
    <xf numFmtId="170" fontId="7" fillId="0" borderId="9" pivotButton="0" quotePrefix="0" xfId="0"/>
    <xf numFmtId="164" fontId="7" fillId="4" borderId="2" applyAlignment="1" pivotButton="0" quotePrefix="0" xfId="0">
      <alignment horizontal="right"/>
    </xf>
    <xf numFmtId="172" fontId="3" fillId="5" borderId="4" pivotButton="0" quotePrefix="0" xfId="0"/>
    <xf numFmtId="172" fontId="3" fillId="5" borderId="5" pivotButton="0" quotePrefix="0" xfId="0"/>
    <xf numFmtId="0" fontId="3" fillId="5" borderId="4" applyAlignment="1" pivotButton="0" quotePrefix="0" xfId="0">
      <alignment horizontal="center"/>
    </xf>
    <xf numFmtId="0" fontId="3" fillId="5" borderId="5" pivotButton="0" quotePrefix="0" xfId="0"/>
    <xf numFmtId="0" fontId="3" fillId="5" borderId="0" applyAlignment="1" pivotButton="0" quotePrefix="0" xfId="0">
      <alignment horizontal="center"/>
    </xf>
    <xf numFmtId="0" fontId="3" fillId="5" borderId="1" applyAlignment="1" pivotButton="0" quotePrefix="0" xfId="0">
      <alignment horizontal="center"/>
    </xf>
    <xf numFmtId="0" fontId="3" fillId="5" borderId="9" pivotButton="0" quotePrefix="0" xfId="0"/>
    <xf numFmtId="0" fontId="10" fillId="5" borderId="3" pivotButton="0" quotePrefix="0" xfId="0"/>
    <xf numFmtId="0" fontId="3" fillId="5" borderId="6" pivotButton="0" quotePrefix="1" xfId="0"/>
    <xf numFmtId="0" fontId="5" fillId="5" borderId="6" pivotButton="0" quotePrefix="1" xfId="0"/>
    <xf numFmtId="0" fontId="3" fillId="5" borderId="8" pivotButton="0" quotePrefix="1" xfId="0"/>
    <xf numFmtId="173" fontId="3" fillId="0" borderId="0" applyAlignment="1" pivotButton="0" quotePrefix="0" xfId="0">
      <alignment horizontal="center"/>
    </xf>
    <xf numFmtId="173" fontId="12" fillId="0" borderId="0" applyAlignment="1" pivotButton="0" quotePrefix="0" xfId="0">
      <alignment horizontal="center"/>
    </xf>
    <xf numFmtId="0" fontId="19" fillId="0" borderId="0" pivotButton="0" quotePrefix="0" xfId="0"/>
    <xf numFmtId="0" fontId="3" fillId="0" borderId="10" pivotButton="0" quotePrefix="0" xfId="0"/>
    <xf numFmtId="0" fontId="10" fillId="0" borderId="6" pivotButton="0" quotePrefix="0" xfId="0"/>
    <xf numFmtId="0" fontId="10" fillId="0" borderId="0" applyAlignment="1" pivotButton="0" quotePrefix="0" xfId="0">
      <alignment horizontal="right"/>
    </xf>
    <xf numFmtId="0" fontId="10" fillId="0" borderId="7" applyAlignment="1" pivotButton="0" quotePrefix="0" xfId="0">
      <alignment horizontal="right"/>
    </xf>
    <xf numFmtId="169" fontId="20" fillId="0" borderId="0" applyAlignment="1" pivotButton="0" quotePrefix="0" xfId="0">
      <alignment horizontal="right"/>
    </xf>
    <xf numFmtId="166" fontId="3" fillId="0" borderId="11" pivotButton="0" quotePrefix="0" xfId="0"/>
    <xf numFmtId="173" fontId="7" fillId="0" borderId="7" applyAlignment="1" pivotButton="0" quotePrefix="0" xfId="0">
      <alignment horizontal="right"/>
    </xf>
    <xf numFmtId="173" fontId="8" fillId="0" borderId="7" pivotButton="0" quotePrefix="0" xfId="0"/>
    <xf numFmtId="172" fontId="8" fillId="0" borderId="12" pivotButton="0" quotePrefix="0" xfId="0"/>
    <xf numFmtId="173" fontId="8" fillId="0" borderId="12" pivotButton="0" quotePrefix="0" xfId="0"/>
    <xf numFmtId="173" fontId="8" fillId="0" borderId="0" pivotButton="0" quotePrefix="0" xfId="0"/>
    <xf numFmtId="173" fontId="3" fillId="0" borderId="11" pivotButton="0" quotePrefix="0" xfId="0"/>
    <xf numFmtId="9" fontId="5" fillId="5" borderId="0" pivotButton="0" quotePrefix="0" xfId="1"/>
    <xf numFmtId="9" fontId="21" fillId="5" borderId="1" applyAlignment="1" pivotButton="0" quotePrefix="0" xfId="0">
      <alignment horizontal="center"/>
    </xf>
    <xf numFmtId="0" fontId="8" fillId="5" borderId="0" pivotButton="0" quotePrefix="0" xfId="0"/>
    <xf numFmtId="170" fontId="8" fillId="0" borderId="0" pivotButton="0" quotePrefix="0" xfId="0"/>
    <xf numFmtId="0" fontId="3" fillId="0" borderId="0" pivotButton="0" quotePrefix="1" xfId="0"/>
    <xf numFmtId="9" fontId="7" fillId="7" borderId="0" pivotButton="0" quotePrefix="0" xfId="0"/>
    <xf numFmtId="0" fontId="8" fillId="0" borderId="10" pivotButton="0" quotePrefix="0" xfId="0"/>
    <xf numFmtId="0" fontId="14" fillId="0" borderId="11" pivotButton="0" quotePrefix="0" xfId="0"/>
    <xf numFmtId="165" fontId="14" fillId="0" borderId="11" pivotButton="0" quotePrefix="0" xfId="0"/>
    <xf numFmtId="174" fontId="3" fillId="0" borderId="0" pivotButton="0" quotePrefix="0" xfId="0"/>
    <xf numFmtId="165" fontId="3" fillId="0" borderId="0" applyAlignment="1" pivotButton="0" quotePrefix="0" xfId="0">
      <alignment horizontal="center"/>
    </xf>
    <xf numFmtId="0" fontId="8" fillId="0" borderId="0" pivotButton="0" quotePrefix="1" xfId="0"/>
    <xf numFmtId="0" fontId="22" fillId="0" borderId="0" pivotButton="0" quotePrefix="0" xfId="0"/>
    <xf numFmtId="0" fontId="23" fillId="0" borderId="0" pivotButton="0" quotePrefix="0" xfId="0"/>
    <xf numFmtId="0" fontId="23" fillId="0" borderId="0" applyAlignment="1" pivotButton="0" quotePrefix="0" xfId="0">
      <alignment horizontal="center"/>
    </xf>
    <xf numFmtId="0" fontId="22" fillId="0" borderId="0" applyAlignment="1" pivotButton="0" quotePrefix="0" xfId="0">
      <alignment horizontal="left"/>
    </xf>
    <xf numFmtId="9" fontId="22" fillId="0" borderId="0" pivotButton="0" quotePrefix="0" xfId="1"/>
    <xf numFmtId="0" fontId="24" fillId="0" borderId="0" pivotButton="0" quotePrefix="0" xfId="2"/>
    <xf numFmtId="0" fontId="24" fillId="0" borderId="0" applyAlignment="1" pivotButton="0" quotePrefix="0" xfId="2">
      <alignment horizontal="left"/>
    </xf>
    <xf numFmtId="0" fontId="24" fillId="7" borderId="0" pivotButton="0" quotePrefix="0" xfId="2"/>
    <xf numFmtId="0" fontId="18" fillId="8" borderId="2" applyAlignment="1" pivotButton="0" quotePrefix="0" xfId="0">
      <alignment horizontal="center"/>
    </xf>
    <xf numFmtId="0" fontId="15" fillId="7" borderId="0" applyAlignment="1" pivotButton="0" quotePrefix="0" xfId="0">
      <alignment horizontal="left"/>
    </xf>
    <xf numFmtId="175" fontId="10" fillId="5" borderId="0" pivotButton="0" quotePrefix="0" xfId="0"/>
    <xf numFmtId="175" fontId="10" fillId="0" borderId="0" pivotButton="0" quotePrefix="0" xfId="0"/>
    <xf numFmtId="0" fontId="10" fillId="0" borderId="0" applyAlignment="1" pivotButton="0" quotePrefix="0" xfId="0">
      <alignment horizontal="center"/>
    </xf>
    <xf numFmtId="176" fontId="7" fillId="0" borderId="7" applyAlignment="1" pivotButton="0" quotePrefix="0" xfId="0">
      <alignment horizontal="right"/>
    </xf>
    <xf numFmtId="177" fontId="3" fillId="0" borderId="0" pivotButton="0" quotePrefix="0" xfId="0"/>
    <xf numFmtId="178" fontId="3" fillId="0" borderId="0" pivotButton="0" quotePrefix="0" xfId="0"/>
    <xf numFmtId="179" fontId="3" fillId="0" borderId="0" pivotButton="0" quotePrefix="0" xfId="0"/>
    <xf numFmtId="180" fontId="3" fillId="0" borderId="0" pivotButton="0" quotePrefix="0" xfId="0"/>
    <xf numFmtId="172" fontId="3" fillId="0" borderId="5" pivotButton="0" quotePrefix="0" xfId="0"/>
    <xf numFmtId="172" fontId="8" fillId="0" borderId="4" pivotButton="0" quotePrefix="0" xfId="1"/>
    <xf numFmtId="172" fontId="11" fillId="0" borderId="0" pivotButton="0" quotePrefix="0" xfId="1"/>
    <xf numFmtId="172" fontId="8" fillId="0" borderId="0" pivotButton="0" quotePrefix="0" xfId="1"/>
    <xf numFmtId="172" fontId="12" fillId="0" borderId="0" pivotButton="0" quotePrefix="0" xfId="1"/>
    <xf numFmtId="181" fontId="3" fillId="0" borderId="0" applyAlignment="1" pivotButton="0" quotePrefix="0" xfId="0">
      <alignment horizontal="center"/>
    </xf>
    <xf numFmtId="172" fontId="7" fillId="5" borderId="0" pivotButton="0" quotePrefix="0" xfId="0"/>
    <xf numFmtId="178" fontId="5" fillId="5" borderId="0" pivotButton="0" quotePrefix="0" xfId="0"/>
    <xf numFmtId="172" fontId="12" fillId="7" borderId="0" pivotButton="0" quotePrefix="0" xfId="0"/>
    <xf numFmtId="178" fontId="5" fillId="0" borderId="0" pivotButton="0" quotePrefix="0" xfId="0"/>
    <xf numFmtId="164" fontId="3" fillId="0" borderId="0" pivotButton="0" quotePrefix="0" xfId="0"/>
    <xf numFmtId="0" fontId="25" fillId="0" borderId="0" pivotButton="0" quotePrefix="0" xfId="0"/>
    <xf numFmtId="174" fontId="23" fillId="0" borderId="0" pivotButton="0" quotePrefix="0" xfId="0"/>
    <xf numFmtId="165" fontId="3" fillId="0" borderId="0" applyAlignment="1" pivotButton="0" quotePrefix="0" xfId="0">
      <alignment horizontal="right"/>
    </xf>
    <xf numFmtId="9" fontId="3" fillId="0" borderId="0" applyAlignment="1" pivotButton="0" quotePrefix="0" xfId="0">
      <alignment horizontal="right"/>
    </xf>
    <xf numFmtId="165" fontId="3" fillId="0" borderId="4" applyAlignment="1" pivotButton="0" quotePrefix="0" xfId="0">
      <alignment horizontal="right"/>
    </xf>
    <xf numFmtId="178" fontId="3" fillId="0" borderId="4" applyAlignment="1" pivotButton="0" quotePrefix="0" xfId="0">
      <alignment horizontal="right"/>
    </xf>
    <xf numFmtId="0" fontId="6" fillId="0" borderId="0" applyAlignment="1" pivotButton="0" quotePrefix="0" xfId="0">
      <alignment horizontal="right"/>
    </xf>
    <xf numFmtId="182" fontId="3" fillId="0" borderId="0" applyAlignment="1" pivotButton="0" quotePrefix="0" xfId="0">
      <alignment horizontal="center"/>
    </xf>
    <xf numFmtId="178" fontId="11" fillId="0" borderId="0" pivotButton="0" quotePrefix="0" xfId="0"/>
    <xf numFmtId="0" fontId="9" fillId="3" borderId="0" applyAlignment="1" pivotButton="0" quotePrefix="0" xfId="0">
      <alignment horizontal="center"/>
    </xf>
    <xf numFmtId="166" fontId="7" fillId="0" borderId="7" applyAlignment="1" pivotButton="0" quotePrefix="0" xfId="0">
      <alignment horizontal="right"/>
    </xf>
    <xf numFmtId="166" fontId="8" fillId="0" borderId="0" pivotButton="0" quotePrefix="0" xfId="0"/>
    <xf numFmtId="172" fontId="3" fillId="0" borderId="5" pivotButton="0" quotePrefix="0" xfId="0"/>
    <xf numFmtId="165" fontId="8" fillId="0" borderId="0" pivotButton="0" quotePrefix="0" xfId="0"/>
    <xf numFmtId="176" fontId="7" fillId="0" borderId="7" applyAlignment="1" pivotButton="0" quotePrefix="0" xfId="0">
      <alignment horizontal="right"/>
    </xf>
    <xf numFmtId="169" fontId="8" fillId="0" borderId="0" pivotButton="0" quotePrefix="0" xfId="0"/>
    <xf numFmtId="168" fontId="8" fillId="0" borderId="0" pivotButton="0" quotePrefix="0" xfId="0"/>
    <xf numFmtId="169" fontId="20" fillId="0" borderId="0" applyAlignment="1" pivotButton="0" quotePrefix="0" xfId="0">
      <alignment horizontal="right"/>
    </xf>
    <xf numFmtId="164" fontId="7" fillId="0" borderId="7" applyAlignment="1" pivotButton="0" quotePrefix="0" xfId="0">
      <alignment horizontal="right"/>
    </xf>
    <xf numFmtId="172" fontId="8" fillId="0" borderId="0" pivotButton="0" quotePrefix="0" xfId="0"/>
    <xf numFmtId="173" fontId="8" fillId="0" borderId="0" pivotButton="0" quotePrefix="0" xfId="0"/>
    <xf numFmtId="173" fontId="8" fillId="0" borderId="7" pivotButton="0" quotePrefix="0" xfId="0"/>
    <xf numFmtId="166" fontId="3" fillId="0" borderId="11" pivotButton="0" quotePrefix="0" xfId="0"/>
    <xf numFmtId="173" fontId="3" fillId="0" borderId="11" pivotButton="0" quotePrefix="0" xfId="0"/>
    <xf numFmtId="173" fontId="8" fillId="0" borderId="12" pivotButton="0" quotePrefix="0" xfId="0"/>
    <xf numFmtId="165" fontId="7" fillId="4" borderId="2" applyAlignment="1" pivotButton="0" quotePrefix="0" xfId="0">
      <alignment horizontal="right"/>
    </xf>
    <xf numFmtId="166" fontId="3" fillId="7" borderId="11" pivotButton="0" quotePrefix="0" xfId="0"/>
    <xf numFmtId="173" fontId="7" fillId="0" borderId="7" applyAlignment="1" pivotButton="0" quotePrefix="0" xfId="0">
      <alignment horizontal="right"/>
    </xf>
    <xf numFmtId="170" fontId="7" fillId="0" borderId="7" pivotButton="0" quotePrefix="0" xfId="0"/>
    <xf numFmtId="170" fontId="7" fillId="0" borderId="9" pivotButton="0" quotePrefix="0" xfId="0"/>
    <xf numFmtId="175" fontId="10" fillId="5" borderId="0" pivotButton="0" quotePrefix="0" xfId="0"/>
    <xf numFmtId="175" fontId="10" fillId="0" borderId="0" pivotButton="0" quotePrefix="0" xfId="0"/>
    <xf numFmtId="172" fontId="7" fillId="5" borderId="0" pivotButton="0" quotePrefix="0" xfId="0"/>
    <xf numFmtId="172" fontId="12" fillId="7" borderId="0" pivotButton="0" quotePrefix="0" xfId="0"/>
    <xf numFmtId="173" fontId="3" fillId="0" borderId="0" applyAlignment="1" pivotButton="0" quotePrefix="0" xfId="0">
      <alignment horizontal="center"/>
    </xf>
    <xf numFmtId="178" fontId="5" fillId="5" borderId="0" pivotButton="0" quotePrefix="0" xfId="0"/>
    <xf numFmtId="178" fontId="11" fillId="0" borderId="0" pivotButton="0" quotePrefix="0" xfId="0"/>
    <xf numFmtId="178" fontId="5" fillId="0" borderId="0" pivotButton="0" quotePrefix="0" xfId="0"/>
    <xf numFmtId="166" fontId="7" fillId="5" borderId="0" pivotButton="0" quotePrefix="0" xfId="0"/>
    <xf numFmtId="166" fontId="3" fillId="0" borderId="0" pivotButton="0" quotePrefix="0" xfId="0"/>
    <xf numFmtId="173" fontId="12" fillId="0" borderId="0" applyAlignment="1" pivotButton="0" quotePrefix="0" xfId="0">
      <alignment horizontal="center"/>
    </xf>
    <xf numFmtId="166" fontId="12" fillId="0" borderId="0" pivotButton="0" quotePrefix="0" xfId="1"/>
    <xf numFmtId="165" fontId="8" fillId="0" borderId="0" pivotButton="0" quotePrefix="0" xfId="1"/>
    <xf numFmtId="166" fontId="8" fillId="0" borderId="4" pivotButton="0" quotePrefix="0" xfId="1"/>
    <xf numFmtId="170" fontId="8" fillId="0" borderId="0" pivotButton="0" quotePrefix="0" xfId="1"/>
    <xf numFmtId="165" fontId="3" fillId="0" borderId="0" pivotButton="0" quotePrefix="0" xfId="0"/>
    <xf numFmtId="170" fontId="3" fillId="0" borderId="4" pivotButton="0" quotePrefix="0" xfId="0"/>
    <xf numFmtId="170" fontId="3" fillId="0" borderId="0" pivotButton="0" quotePrefix="0" xfId="0"/>
    <xf numFmtId="171" fontId="3" fillId="0" borderId="0" pivotButton="0" quotePrefix="0" xfId="0"/>
    <xf numFmtId="170" fontId="12" fillId="0" borderId="0" pivotButton="0" quotePrefix="0" xfId="0"/>
    <xf numFmtId="170" fontId="8" fillId="0" borderId="0" pivotButton="0" quotePrefix="0" xfId="0"/>
    <xf numFmtId="165" fontId="14" fillId="0" borderId="0" pivotButton="0" quotePrefix="0" xfId="0"/>
    <xf numFmtId="172" fontId="3" fillId="0" borderId="0" pivotButton="0" quotePrefix="0" xfId="0"/>
    <xf numFmtId="165" fontId="12" fillId="0" borderId="0" pivotButton="0" quotePrefix="0" xfId="0"/>
    <xf numFmtId="164" fontId="3" fillId="0" borderId="0" pivotButton="0" quotePrefix="0" xfId="0"/>
    <xf numFmtId="164" fontId="3" fillId="0" borderId="0" applyAlignment="1" pivotButton="0" quotePrefix="0" xfId="0">
      <alignment horizontal="right"/>
    </xf>
    <xf numFmtId="170" fontId="7" fillId="4" borderId="2" pivotButton="0" quotePrefix="0" xfId="0"/>
    <xf numFmtId="164" fontId="7" fillId="4" borderId="2" applyAlignment="1" pivotButton="0" quotePrefix="0" xfId="0">
      <alignment horizontal="right"/>
    </xf>
    <xf numFmtId="165" fontId="3" fillId="0" borderId="0" applyAlignment="1" pivotButton="0" quotePrefix="0" xfId="0">
      <alignment horizontal="right"/>
    </xf>
    <xf numFmtId="173" fontId="3" fillId="0" borderId="0" pivotButton="0" quotePrefix="0" xfId="0"/>
    <xf numFmtId="165" fontId="3" fillId="0" borderId="4" applyAlignment="1" pivotButton="0" quotePrefix="0" xfId="0">
      <alignment horizontal="right"/>
    </xf>
    <xf numFmtId="178" fontId="3" fillId="0" borderId="4" applyAlignment="1" pivotButton="0" quotePrefix="0" xfId="0">
      <alignment horizontal="right"/>
    </xf>
    <xf numFmtId="180" fontId="3" fillId="0" borderId="0" pivotButton="0" quotePrefix="0" xfId="0"/>
    <xf numFmtId="174" fontId="3" fillId="0" borderId="0" pivotButton="0" quotePrefix="0" xfId="0"/>
    <xf numFmtId="174" fontId="23" fillId="0" borderId="0" pivotButton="0" quotePrefix="0" xfId="0"/>
    <xf numFmtId="182" fontId="3" fillId="0" borderId="0" applyAlignment="1" pivotButton="0" quotePrefix="0" xfId="0">
      <alignment horizontal="center"/>
    </xf>
    <xf numFmtId="178" fontId="3" fillId="0" borderId="0" pivotButton="0" quotePrefix="0" xfId="0"/>
    <xf numFmtId="170" fontId="3" fillId="0" borderId="7" pivotButton="0" quotePrefix="0" xfId="0"/>
    <xf numFmtId="164" fontId="3" fillId="0" borderId="7" pivotButton="0" quotePrefix="0" xfId="0"/>
    <xf numFmtId="179" fontId="3" fillId="0" borderId="0" pivotButton="0" quotePrefix="0" xfId="0"/>
    <xf numFmtId="165" fontId="14" fillId="0" borderId="11" pivotButton="0" quotePrefix="0" xfId="0"/>
    <xf numFmtId="172" fontId="8" fillId="0" borderId="12" pivotButton="0" quotePrefix="0" xfId="0"/>
    <xf numFmtId="165" fontId="3" fillId="5" borderId="4" pivotButton="0" quotePrefix="0" xfId="0"/>
    <xf numFmtId="172" fontId="3" fillId="5" borderId="4" pivotButton="0" quotePrefix="0" xfId="0"/>
    <xf numFmtId="172" fontId="3" fillId="5" borderId="5" pivotButton="0" quotePrefix="0" xfId="0"/>
    <xf numFmtId="170" fontId="3" fillId="5" borderId="9" pivotButton="0" quotePrefix="0" xfId="0"/>
    <xf numFmtId="0" fontId="0" fillId="0" borderId="14" applyAlignment="1" pivotButton="0" quotePrefix="0" xfId="0">
      <alignment vertical="center"/>
    </xf>
    <xf numFmtId="0" fontId="26" fillId="0" borderId="14" applyAlignment="1" pivotButton="0" quotePrefix="0" xfId="0">
      <alignment vertical="center"/>
    </xf>
    <xf numFmtId="0" fontId="27" fillId="0" borderId="14" applyAlignment="1" pivotButton="0" quotePrefix="0" xfId="0">
      <alignment vertical="center"/>
    </xf>
    <xf numFmtId="0" fontId="28" fillId="9" borderId="14" applyAlignment="1" pivotButton="0" quotePrefix="0" xfId="0">
      <alignment horizontal="center" vertical="center"/>
    </xf>
    <xf numFmtId="0" fontId="29" fillId="0" borderId="14" applyAlignment="1" pivotButton="0" quotePrefix="0" xfId="0">
      <alignment vertical="center"/>
    </xf>
    <xf numFmtId="183" fontId="0" fillId="10" borderId="14" applyAlignment="1" pivotButton="0" quotePrefix="0" xfId="0">
      <alignment vertical="center"/>
    </xf>
    <xf numFmtId="183" fontId="0" fillId="0" borderId="14" applyAlignment="1" pivotButton="0" quotePrefix="0" xfId="0">
      <alignment vertical="center"/>
    </xf>
    <xf numFmtId="0" fontId="0" fillId="0" borderId="14" applyAlignment="1" pivotButton="0" quotePrefix="0" xfId="0">
      <alignment vertical="center" wrapText="1"/>
    </xf>
    <xf numFmtId="184" fontId="0" fillId="10" borderId="14" applyAlignment="1" pivotButton="0" quotePrefix="0" xfId="0">
      <alignment vertical="center"/>
    </xf>
    <xf numFmtId="0" fontId="0" fillId="10" borderId="14" applyAlignment="1" pivotButton="0" quotePrefix="0" xfId="0">
      <alignment vertical="center"/>
    </xf>
    <xf numFmtId="0" fontId="0" fillId="11" borderId="14" applyAlignment="1" pivotButton="0" quotePrefix="0" xfId="0">
      <alignment vertical="center"/>
    </xf>
    <xf numFmtId="185" fontId="0" fillId="11" borderId="14" applyAlignment="1" pivotButton="0" quotePrefix="0" xfId="0">
      <alignment vertical="center"/>
    </xf>
    <xf numFmtId="183" fontId="0" fillId="11" borderId="14" applyAlignment="1" pivotButton="0" quotePrefix="0" xfId="0">
      <alignment vertical="center"/>
    </xf>
    <xf numFmtId="0" fontId="30" fillId="12" borderId="14" applyAlignment="1" pivotButton="0" quotePrefix="0" xfId="0">
      <alignment horizontal="center" vertical="center"/>
    </xf>
    <xf numFmtId="184" fontId="0" fillId="11" borderId="14" applyAlignment="1" pivotButton="0" quotePrefix="0" xfId="0">
      <alignment vertical="center"/>
    </xf>
    <xf numFmtId="185" fontId="0" fillId="10" borderId="14" applyAlignment="1" pivotButton="0" quotePrefix="0" xfId="0">
      <alignment vertical="center"/>
    </xf>
    <xf numFmtId="168" fontId="0" fillId="10" borderId="14" applyAlignment="1" pivotButton="0" quotePrefix="0" xfId="0">
      <alignment vertical="center"/>
    </xf>
    <xf numFmtId="186" fontId="0" fillId="11" borderId="14" applyAlignment="1" pivotButton="0" quotePrefix="0" xfId="0">
      <alignment vertical="center"/>
    </xf>
    <xf numFmtId="181" fontId="3" fillId="0" borderId="0" applyAlignment="1" pivotButton="0" quotePrefix="0" xfId="0">
      <alignment horizontal="center"/>
    </xf>
    <xf numFmtId="172" fontId="12" fillId="0" borderId="0" pivotButton="0" quotePrefix="0" xfId="1"/>
    <xf numFmtId="172" fontId="8" fillId="0" borderId="0" pivotButton="0" quotePrefix="0" xfId="1"/>
    <xf numFmtId="172" fontId="8" fillId="0" borderId="4" pivotButton="0" quotePrefix="0" xfId="1"/>
    <xf numFmtId="172" fontId="11" fillId="0" borderId="0" pivotButton="0" quotePrefix="0" xfId="1"/>
    <xf numFmtId="165" fontId="3" fillId="0" borderId="0" applyAlignment="1" pivotButton="0" quotePrefix="0" xfId="0">
      <alignment horizontal="center"/>
    </xf>
    <xf numFmtId="177" fontId="3" fillId="0" borderId="0" pivotButton="0" quotePrefix="0" xfId="0"/>
  </cellXfs>
  <cellStyles count="3">
    <cellStyle name="Normal" xfId="0" builtinId="0"/>
    <cellStyle name="Percent" xfId="1" builtinId="5"/>
    <cellStyle name="Hyperlink" xfId="2" builtinId="8"/>
  </cellStyles>
  <dxfs count="6">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_rels/sheet7.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_rels/sheet8.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_rels/sheet9.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sheet1.xml><?xml version="1.0" encoding="utf-8"?>
<worksheet xmlns="http://schemas.openxmlformats.org/spreadsheetml/2006/main">
  <sheetPr>
    <outlinePr summaryBelow="1" summaryRight="1"/>
    <pageSetUpPr/>
  </sheetPr>
  <dimension ref="A1:XFD149"/>
  <sheetViews>
    <sheetView workbookViewId="0">
      <selection activeCell="A1" sqref="A1"/>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21"/>
    <col width="8.6640625" customWidth="1" style="18" min="22" max="16384"/>
  </cols>
  <sheetData>
    <row r="1">
      <c r="A1" s="18" t="n"/>
    </row>
    <row r="2" ht="25" customHeight="1">
      <c r="A2" s="6" t="inlineStr">
        <is>
          <t>x</t>
        </is>
      </c>
      <c r="B2" s="27" t="inlineStr">
        <is>
          <t>G&amp;B Model - Pest Single Acquisition Base Case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t="n">
        <v>2500</v>
      </c>
      <c r="O15" s="144" t="inlineStr">
        <is>
          <t>*Refer to the Search Fund Study to understand median multiples, revenue, EBITDA, and more.</t>
        </is>
      </c>
    </row>
    <row r="16">
      <c r="B16" s="33" t="inlineStr">
        <is>
          <t>Term Debt</t>
        </is>
      </c>
      <c r="C16" s="184">
        <f>D16*N17</f>
        <v/>
      </c>
      <c r="D16" s="35">
        <f>N20</f>
        <v/>
      </c>
      <c r="E16" s="13">
        <f>C16/C25</f>
        <v/>
      </c>
      <c r="F16" s="36" t="n"/>
      <c r="G16" s="37" t="inlineStr">
        <is>
          <t>TEV</t>
        </is>
      </c>
      <c r="H16" s="184">
        <f>N15</f>
        <v/>
      </c>
      <c r="I16" s="35">
        <f>H16/$N$17</f>
        <v/>
      </c>
      <c r="J16" s="13">
        <f>H16/$H$25</f>
        <v/>
      </c>
      <c r="L16" s="3" t="inlineStr">
        <is>
          <t>Entry Multiple</t>
        </is>
      </c>
      <c r="N16" s="11" t="inlineStr">
        <is>
          <t>EBITDA</t>
        </is>
      </c>
    </row>
    <row r="17">
      <c r="B17" s="38" t="inlineStr">
        <is>
          <t>Seller Debt</t>
        </is>
      </c>
      <c r="C17" s="39">
        <f>N21</f>
        <v/>
      </c>
      <c r="D17" s="40">
        <f>C17/$N$17</f>
        <v/>
      </c>
      <c r="E17" s="14">
        <f>C17/C25</f>
        <v/>
      </c>
      <c r="F17" s="36" t="n"/>
      <c r="G17" s="37" t="inlineStr">
        <is>
          <t>Fees</t>
        </is>
      </c>
      <c r="H17" s="3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inlineStr">
        <is>
          <t>2026-12-31</t>
        </is>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0</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750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200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0.125</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0</v>
      </c>
    </row>
    <row r="28">
      <c r="B28" s="182" t="inlineStr">
        <is>
          <t>Summary Financials</t>
        </is>
      </c>
      <c r="L28" s="19" t="inlineStr">
        <is>
          <t>Y1 Revenue Threshold</t>
        </is>
      </c>
      <c r="M28" s="52" t="n"/>
      <c r="N28" s="202" t="n">
        <v>0</v>
      </c>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Source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Melissa 6/17: core $1.5M revenue / $500K EBITDA; 5% organic growth; equity + seller note, no bank debt at close.</t>
        </is>
      </c>
    </row>
    <row r="34">
      <c r="B34" s="18" t="inlineStr">
        <is>
          <t>Ending ARR</t>
        </is>
      </c>
      <c r="C34" s="205" t="n">
        <v>2684</v>
      </c>
      <c r="D34" s="205" t="n">
        <v>3720</v>
      </c>
      <c r="E34" s="205" t="n">
        <v>4750</v>
      </c>
      <c r="F34" s="206">
        <f>E34*(1+F35)</f>
        <v/>
      </c>
      <c r="G34" s="206">
        <f>F34*(1+G35)</f>
        <v/>
      </c>
      <c r="H34" s="206">
        <f>G34*(1+H35)</f>
        <v/>
      </c>
      <c r="I34" s="206">
        <f>H34*(1+I35)</f>
        <v/>
      </c>
      <c r="J34" s="206">
        <f>I34*(1+J35)</f>
        <v/>
      </c>
      <c r="L34" s="207" t="inlineStr">
        <is>
          <t>Seller note base: 30% of TEV proxy, 7% interest. Rollover base: 12.5%.</t>
        </is>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0.2289473684210526</v>
      </c>
      <c r="G35" s="209" t="n">
        <v>0.2671306209850106</v>
      </c>
      <c r="H35" s="209" t="n">
        <v>0.2901563160118292</v>
      </c>
      <c r="I35" s="209" t="n">
        <v>0.307629838234331</v>
      </c>
      <c r="J35" s="209" t="n">
        <v>0.3118125632318618</v>
      </c>
      <c r="L35" s="156" t="inlineStr">
        <is>
          <t>Historical C/D periods are set to 0/TBD because source material did not provide them.</t>
        </is>
      </c>
    </row>
    <row r="36">
      <c r="C36" s="203" t="n"/>
      <c r="D36" s="208" t="n"/>
      <c r="E36" s="208" t="n"/>
      <c r="F36" s="210" t="n"/>
      <c r="G36" s="210" t="n"/>
      <c r="H36" s="210" t="n"/>
      <c r="I36" s="210" t="n"/>
      <c r="J36" s="210" t="n"/>
      <c r="L36" s="156" t="n"/>
    </row>
    <row r="37">
      <c r="B37" s="18" t="inlineStr">
        <is>
          <t>GAAP Revenue</t>
        </is>
      </c>
      <c r="C37" s="211" t="n">
        <v>0</v>
      </c>
      <c r="D37" s="211" t="n">
        <v>0</v>
      </c>
      <c r="E37" s="211" t="n">
        <v>1500</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60" t="n">
        <v>0.05</v>
      </c>
      <c r="G38" s="60" t="n">
        <v>0.05</v>
      </c>
      <c r="H38" s="60" t="n">
        <v>0.05</v>
      </c>
      <c r="I38" s="60" t="n">
        <v>0.05</v>
      </c>
      <c r="J38" s="60" t="n">
        <v>0.05</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GAAP EBITDA</t>
        </is>
      </c>
      <c r="C40" s="211" t="n">
        <v>0</v>
      </c>
      <c r="D40" s="211" t="n">
        <v>0</v>
      </c>
      <c r="E40" s="211" t="n">
        <v>500</v>
      </c>
      <c r="F40" s="212">
        <f>F41*F37</f>
        <v/>
      </c>
      <c r="G40" s="212">
        <f>G41*G37</f>
        <v/>
      </c>
      <c r="H40" s="212">
        <f>H41*H37</f>
        <v/>
      </c>
      <c r="I40" s="212">
        <f>I41*I37</f>
        <v/>
      </c>
      <c r="J40" s="212">
        <f>J41*J37</f>
        <v/>
      </c>
      <c r="L40" s="207">
        <f>_xlfn.RRI(2,C40,E40)</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60" t="n">
        <v>0.3333333333</v>
      </c>
      <c r="G41" s="60" t="n">
        <v>0.3333333333</v>
      </c>
      <c r="H41" s="60" t="n">
        <v>0.3333333333</v>
      </c>
      <c r="I41" s="60" t="n">
        <v>0.3333333333</v>
      </c>
      <c r="J41" s="60" t="n">
        <v>0.3333333333</v>
      </c>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14">
        <f>F40</f>
        <v/>
      </c>
      <c r="G43" s="214">
        <f>G40</f>
        <v/>
      </c>
      <c r="H43" s="214">
        <f>H40</f>
        <v/>
      </c>
      <c r="I43" s="214">
        <f>I40</f>
        <v/>
      </c>
      <c r="J43" s="214">
        <f>J40</f>
        <v/>
      </c>
      <c r="XFD43" s="60" t="n"/>
    </row>
    <row r="44">
      <c r="B44" s="18" t="inlineStr">
        <is>
          <t>Depreciation</t>
        </is>
      </c>
      <c r="C44" s="132" t="n"/>
      <c r="D44" s="132" t="n"/>
      <c r="E44" s="132" t="n"/>
      <c r="F44" s="215">
        <f>-($L$44*F37)</f>
        <v/>
      </c>
      <c r="G44" s="215">
        <f>-($L$44*G37)</f>
        <v/>
      </c>
      <c r="H44" s="215">
        <f>-($L$44*H37)</f>
        <v/>
      </c>
      <c r="I44" s="215">
        <f>-($L$44*I37)</f>
        <v/>
      </c>
      <c r="J44" s="215">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16">
        <f>SUM(F43:F44)</f>
        <v/>
      </c>
      <c r="G45" s="216">
        <f>SUM(G43:G44)</f>
        <v/>
      </c>
      <c r="H45" s="216">
        <f>SUM(H43:H44)</f>
        <v/>
      </c>
      <c r="I45" s="216">
        <f>SUM(I43:I44)</f>
        <v/>
      </c>
      <c r="J45" s="216">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17">
        <f>-F80-F89</f>
        <v/>
      </c>
      <c r="G47" s="217">
        <f>-G80-G89</f>
        <v/>
      </c>
      <c r="H47" s="217">
        <f>-H80-H89</f>
        <v/>
      </c>
      <c r="I47" s="217">
        <f>-I80-I89</f>
        <v/>
      </c>
      <c r="J47" s="217">
        <f>-J80-J89</f>
        <v/>
      </c>
      <c r="L47" s="6" t="n"/>
      <c r="O47" s="145" t="n"/>
      <c r="XFD47" s="60" t="n"/>
    </row>
    <row r="48">
      <c r="B48" s="65" t="inlineStr">
        <is>
          <t>EBT</t>
        </is>
      </c>
      <c r="C48" s="66" t="n"/>
      <c r="D48" s="66" t="n"/>
      <c r="E48" s="66" t="n"/>
      <c r="F48" s="216">
        <f>F45+F47</f>
        <v/>
      </c>
      <c r="G48" s="216">
        <f>G45+G47</f>
        <v/>
      </c>
      <c r="H48" s="216">
        <f>H45+H47</f>
        <v/>
      </c>
      <c r="I48" s="216">
        <f>I45+I47</f>
        <v/>
      </c>
      <c r="J48" s="216">
        <f>J45+J47</f>
        <v/>
      </c>
      <c r="L48" s="6" t="n"/>
      <c r="O48" s="148" t="n"/>
      <c r="P48" s="60" t="n"/>
      <c r="Q48" s="60" t="n"/>
      <c r="R48" s="60" t="n"/>
      <c r="S48" s="60" t="n"/>
      <c r="XFD48" s="60" t="n"/>
    </row>
    <row r="49">
      <c r="C49" s="132" t="n"/>
      <c r="D49" s="132" t="n"/>
      <c r="E49" s="132" t="n"/>
      <c r="F49" s="60" t="n"/>
      <c r="G49" s="60" t="n"/>
      <c r="H49" s="60" t="n"/>
      <c r="I49" s="60" t="n"/>
      <c r="J49" s="60" t="n"/>
      <c r="L49" s="6" t="n"/>
      <c r="O49" s="145" t="n"/>
      <c r="P49" s="75" t="n"/>
      <c r="Q49" s="75" t="n"/>
      <c r="R49" s="75" t="n"/>
      <c r="S49" s="75" t="n"/>
      <c r="T49" s="75" t="n"/>
      <c r="U49" s="75" t="n"/>
      <c r="XFD49" s="60" t="n"/>
    </row>
    <row r="50">
      <c r="B50" s="18" t="inlineStr">
        <is>
          <t>Taxes Owed / Distributed</t>
        </is>
      </c>
      <c r="C50" s="132" t="n"/>
      <c r="D50" s="132" t="n"/>
      <c r="E50" s="133">
        <f>IF(N24="LLC",45%,26.5%)</f>
        <v/>
      </c>
      <c r="F50" s="217">
        <f>-$E$50*F48</f>
        <v/>
      </c>
      <c r="G50" s="217">
        <f>-$E$50*G48</f>
        <v/>
      </c>
      <c r="H50" s="217">
        <f>-$E$50*H48</f>
        <v/>
      </c>
      <c r="I50" s="217">
        <f>-$E$50*I48</f>
        <v/>
      </c>
      <c r="J50" s="217">
        <f>-$E$50*J48</f>
        <v/>
      </c>
      <c r="N50" s="21" t="n"/>
      <c r="O50" s="145" t="n"/>
      <c r="P50" s="75" t="n"/>
      <c r="Q50" s="75" t="n"/>
      <c r="R50" s="75" t="n"/>
      <c r="S50" s="75" t="n"/>
      <c r="T50" s="75" t="n"/>
      <c r="U50" s="75" t="n"/>
      <c r="XFD50" s="60" t="n"/>
    </row>
    <row r="51">
      <c r="B51" s="65" t="inlineStr">
        <is>
          <t>Net Income</t>
        </is>
      </c>
      <c r="C51" s="66" t="n"/>
      <c r="D51" s="66" t="n"/>
      <c r="E51" s="132" t="n"/>
      <c r="F51" s="216">
        <f>F48+F50</f>
        <v/>
      </c>
      <c r="G51" s="216">
        <f>G48+G50</f>
        <v/>
      </c>
      <c r="H51" s="216">
        <f>H48+H50</f>
        <v/>
      </c>
      <c r="I51" s="216">
        <f>I48+I50</f>
        <v/>
      </c>
      <c r="J51" s="216">
        <f>J48+J50</f>
        <v/>
      </c>
      <c r="L51" s="6"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12">
        <f>F51</f>
        <v/>
      </c>
      <c r="G55" s="212">
        <f>G51</f>
        <v/>
      </c>
      <c r="H55" s="212">
        <f>H51</f>
        <v/>
      </c>
      <c r="I55" s="212">
        <f>I51</f>
        <v/>
      </c>
      <c r="J55" s="212">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v>
      </c>
      <c r="I82" s="80" t="n">
        <v>0</v>
      </c>
      <c r="J82" s="80" t="n">
        <v>1</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0.07000000000000001</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N112" s="86" t="n"/>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L114" s="90" t="n"/>
      <c r="O114" s="145" t="n"/>
    </row>
    <row r="115">
      <c r="O115" s="145" t="n"/>
    </row>
    <row r="116">
      <c r="B116" s="76" t="inlineStr">
        <is>
          <t>Preferred Equity</t>
        </is>
      </c>
      <c r="M116" s="235" t="n"/>
      <c r="O116" s="145" t="n"/>
    </row>
    <row r="117">
      <c r="B117" s="18" t="inlineStr">
        <is>
          <t>Beginning Balance</t>
        </is>
      </c>
      <c r="F117" s="220">
        <f>C23+(H105*H104)</f>
        <v/>
      </c>
      <c r="G117" s="220">
        <f>F120</f>
        <v/>
      </c>
      <c r="H117" s="220">
        <f>G120</f>
        <v/>
      </c>
      <c r="I117" s="220">
        <f>H120</f>
        <v/>
      </c>
      <c r="J117" s="220">
        <f>I120</f>
        <v/>
      </c>
      <c r="M117" s="220" t="n"/>
      <c r="N117" s="236" t="n"/>
      <c r="O117" s="237" t="n"/>
    </row>
    <row r="118" ht="10" customHeight="1">
      <c r="B118" s="18" t="inlineStr">
        <is>
          <t>(+) Preferred Return</t>
        </is>
      </c>
      <c r="D118" s="83" t="n">
        <v>0.08</v>
      </c>
      <c r="F118" s="226">
        <f>F117*$D$118</f>
        <v/>
      </c>
      <c r="G118" s="218">
        <f>G117*$D$118</f>
        <v/>
      </c>
      <c r="H118" s="218">
        <f>H117*$D$118</f>
        <v/>
      </c>
      <c r="I118" s="218">
        <f>I117*$D$118</f>
        <v/>
      </c>
      <c r="J118" s="218">
        <f>J117*$D$118</f>
        <v/>
      </c>
      <c r="L118" s="238" t="n"/>
      <c r="M118" s="239"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f>N130</f>
        <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3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xl/worksheets/sheet2.xml><?xml version="1.0" encoding="utf-8"?>
<worksheet xmlns="http://schemas.openxmlformats.org/spreadsheetml/2006/main">
  <sheetPr>
    <outlinePr summaryBelow="1" summaryRight="1"/>
    <pageSetUpPr/>
  </sheetPr>
  <dimension ref="A1:N78"/>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3" customWidth="1" min="1" max="1"/>
    <col width="3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8" customWidth="1" min="13" max="13"/>
    <col width="44" customWidth="1" min="14" max="14"/>
  </cols>
  <sheetData>
    <row r="1">
      <c r="A1" s="249" t="n"/>
      <c r="B1" s="249" t="n"/>
      <c r="C1" s="249" t="n"/>
      <c r="D1" s="249" t="n"/>
      <c r="E1" s="249" t="n"/>
      <c r="F1" s="249" t="n"/>
      <c r="G1" s="249" t="n"/>
      <c r="H1" s="249" t="n"/>
      <c r="I1" s="249" t="n"/>
      <c r="J1" s="249" t="n"/>
      <c r="K1" s="249" t="n"/>
      <c r="L1" s="249" t="n"/>
      <c r="M1" s="249" t="n"/>
      <c r="N1" s="249" t="n"/>
    </row>
    <row r="2">
      <c r="A2" s="249" t="n"/>
      <c r="B2" s="250" t="inlineStr">
        <is>
          <t>G&amp;B Pest Multi-Acquisition Model - First Pass</t>
        </is>
      </c>
      <c r="C2" s="249" t="n"/>
      <c r="D2" s="249" t="n"/>
      <c r="E2" s="249" t="n"/>
      <c r="F2" s="249" t="n"/>
      <c r="G2" s="249" t="n"/>
      <c r="H2" s="249" t="n"/>
      <c r="I2" s="249" t="n"/>
      <c r="J2" s="249" t="n"/>
      <c r="K2" s="249" t="n"/>
      <c r="L2" s="249" t="n"/>
      <c r="M2" s="249" t="n"/>
      <c r="N2" s="249" t="n"/>
    </row>
    <row r="3">
      <c r="A3" s="249" t="n"/>
      <c r="B3" s="251" t="inlineStr">
        <is>
          <t>Built from G&amp;B Financial Model Template.xlsx. $000s unless otherwise indicated. Yellow cells are inputs; green cells are formulas.</t>
        </is>
      </c>
      <c r="C3" s="249" t="n"/>
      <c r="D3" s="249" t="n"/>
      <c r="E3" s="249" t="n"/>
      <c r="F3" s="249" t="n"/>
      <c r="G3" s="249" t="n"/>
      <c r="H3" s="249" t="n"/>
      <c r="I3" s="249" t="n"/>
      <c r="J3" s="249" t="n"/>
      <c r="K3" s="249" t="n"/>
      <c r="L3" s="249" t="n"/>
      <c r="M3" s="249" t="n"/>
      <c r="N3" s="249" t="n"/>
    </row>
    <row r="4">
      <c r="A4" s="249" t="n"/>
      <c r="B4" s="249" t="n"/>
      <c r="C4" s="249" t="n"/>
      <c r="D4" s="249" t="n"/>
      <c r="E4" s="249" t="n"/>
      <c r="F4" s="249" t="n"/>
      <c r="G4" s="249" t="n"/>
      <c r="H4" s="249" t="n"/>
      <c r="I4" s="249" t="n"/>
      <c r="J4" s="249" t="n"/>
      <c r="K4" s="249" t="n"/>
      <c r="L4" s="249" t="n"/>
      <c r="M4" s="249" t="n"/>
      <c r="N4" s="249" t="n"/>
    </row>
    <row r="5">
      <c r="A5" s="249" t="n"/>
      <c r="B5" s="249" t="n"/>
      <c r="C5" s="249" t="n"/>
      <c r="D5" s="249" t="n"/>
      <c r="E5" s="249" t="n"/>
      <c r="F5" s="249" t="n"/>
      <c r="G5" s="249" t="n"/>
      <c r="H5" s="249" t="n"/>
      <c r="I5" s="249" t="n"/>
      <c r="J5" s="249" t="n"/>
      <c r="K5" s="249" t="n"/>
      <c r="L5" s="249" t="n"/>
      <c r="M5" s="249" t="n"/>
      <c r="N5" s="249" t="n"/>
    </row>
    <row r="6">
      <c r="A6" s="249" t="n"/>
      <c r="B6" s="249" t="n"/>
      <c r="C6" s="249" t="n"/>
      <c r="D6" s="252" t="inlineStr">
        <is>
          <t>Close</t>
        </is>
      </c>
      <c r="E6" s="252" t="inlineStr">
        <is>
          <t>Y1</t>
        </is>
      </c>
      <c r="F6" s="252" t="inlineStr">
        <is>
          <t>Y2</t>
        </is>
      </c>
      <c r="G6" s="252" t="inlineStr">
        <is>
          <t>Y3</t>
        </is>
      </c>
      <c r="H6" s="252" t="inlineStr">
        <is>
          <t>Y4</t>
        </is>
      </c>
      <c r="I6" s="252" t="inlineStr">
        <is>
          <t>Y5</t>
        </is>
      </c>
      <c r="J6" s="249" t="n"/>
      <c r="K6" s="249" t="n"/>
      <c r="L6" s="249" t="n"/>
      <c r="M6" s="252" t="inlineStr">
        <is>
          <t>Source / status</t>
        </is>
      </c>
      <c r="N6" s="252" t="inlineStr">
        <is>
          <t>Notes</t>
        </is>
      </c>
    </row>
    <row r="7">
      <c r="A7" s="249" t="n"/>
      <c r="B7" s="249" t="n"/>
      <c r="C7" s="249" t="n"/>
      <c r="D7" s="249" t="n"/>
      <c r="E7" s="249" t="n"/>
      <c r="F7" s="249" t="n"/>
      <c r="G7" s="249" t="n"/>
      <c r="H7" s="249" t="n"/>
      <c r="I7" s="249" t="n"/>
      <c r="J7" s="249" t="n"/>
      <c r="K7" s="249" t="n"/>
      <c r="L7" s="249" t="n"/>
      <c r="M7" s="249" t="n"/>
      <c r="N7" s="249" t="n"/>
    </row>
    <row r="8">
      <c r="A8" s="249" t="n"/>
      <c r="B8" s="253" t="inlineStr">
        <is>
          <t>Core business assumptions</t>
        </is>
      </c>
      <c r="C8" s="249" t="n"/>
      <c r="D8" s="249" t="n"/>
      <c r="E8" s="249" t="n"/>
      <c r="F8" s="249" t="n"/>
      <c r="G8" s="249" t="n"/>
      <c r="H8" s="249" t="n"/>
      <c r="I8" s="249" t="n"/>
      <c r="J8" s="249" t="n"/>
      <c r="K8" s="249" t="n"/>
      <c r="L8" s="249" t="n"/>
      <c r="M8" s="249" t="n"/>
      <c r="N8" s="249" t="n"/>
    </row>
    <row r="9">
      <c r="A9" s="249" t="n"/>
      <c r="B9" s="249" t="inlineStr">
        <is>
          <t>Revenue</t>
        </is>
      </c>
      <c r="C9" s="249" t="n"/>
      <c r="D9" s="254" t="n">
        <v>1500</v>
      </c>
      <c r="E9" s="255" t="n"/>
      <c r="F9" s="255" t="n"/>
      <c r="G9" s="255" t="n"/>
      <c r="H9" s="255" t="n"/>
      <c r="I9" s="255" t="n"/>
      <c r="J9" s="249" t="n"/>
      <c r="K9" s="249" t="n"/>
      <c r="L9" s="249" t="n"/>
      <c r="M9" s="249" t="inlineStr">
        <is>
          <t>Melissa call 2026-06-17</t>
        </is>
      </c>
      <c r="N9" s="256" t="inlineStr">
        <is>
          <t>Core business: $1.5M revenue.</t>
        </is>
      </c>
    </row>
    <row r="10">
      <c r="A10" s="249" t="n"/>
      <c r="B10" s="249" t="inlineStr">
        <is>
          <t>EBITDA</t>
        </is>
      </c>
      <c r="C10" s="249" t="n"/>
      <c r="D10" s="254" t="n">
        <v>500</v>
      </c>
      <c r="E10" s="255" t="n"/>
      <c r="F10" s="255" t="n"/>
      <c r="G10" s="255" t="n"/>
      <c r="H10" s="255" t="n"/>
      <c r="I10" s="255" t="n"/>
      <c r="J10" s="249" t="n"/>
      <c r="K10" s="249" t="n"/>
      <c r="L10" s="249" t="n"/>
      <c r="M10" s="249" t="inlineStr">
        <is>
          <t>Melissa call 2026-06-17</t>
        </is>
      </c>
      <c r="N10" s="256" t="inlineStr">
        <is>
          <t>Core business: $500K EBITDA, 33.3% margin.</t>
        </is>
      </c>
    </row>
    <row r="11">
      <c r="A11" s="249" t="n"/>
      <c r="B11" s="249" t="inlineStr">
        <is>
          <t>Labor / COGS % revenue</t>
        </is>
      </c>
      <c r="C11" s="249" t="n"/>
      <c r="D11" s="257" t="n">
        <v>0.4</v>
      </c>
      <c r="E11" s="249" t="n"/>
      <c r="F11" s="249" t="n"/>
      <c r="G11" s="249" t="n"/>
      <c r="H11" s="249" t="n"/>
      <c r="I11" s="249" t="n"/>
      <c r="J11" s="249" t="n"/>
      <c r="K11" s="249" t="n"/>
      <c r="L11" s="249" t="n"/>
      <c r="M11" s="249" t="inlineStr">
        <is>
          <t>Melissa call 2026-06-17</t>
        </is>
      </c>
      <c r="N11" s="256" t="inlineStr">
        <is>
          <t>40% labor / COGS.</t>
        </is>
      </c>
    </row>
    <row r="12">
      <c r="A12" s="249" t="n"/>
      <c r="B12" s="249" t="inlineStr">
        <is>
          <t>Organic growth</t>
        </is>
      </c>
      <c r="C12" s="249" t="n"/>
      <c r="D12" s="257" t="n">
        <v>0.05</v>
      </c>
      <c r="E12" s="249" t="n"/>
      <c r="F12" s="249" t="n"/>
      <c r="G12" s="249" t="n"/>
      <c r="H12" s="249" t="n"/>
      <c r="I12" s="249" t="n"/>
      <c r="J12" s="249" t="n"/>
      <c r="K12" s="249" t="n"/>
      <c r="L12" s="249" t="n"/>
      <c r="M12" s="249" t="inlineStr">
        <is>
          <t>Melissa call 2026-06-17</t>
        </is>
      </c>
      <c r="N12" s="256" t="inlineStr">
        <is>
          <t>Melissa recommended ~5% organic growth.</t>
        </is>
      </c>
    </row>
    <row r="13">
      <c r="A13" s="249" t="n"/>
      <c r="B13" s="249" t="inlineStr">
        <is>
          <t>Initial tech count</t>
        </is>
      </c>
      <c r="C13" s="249" t="n"/>
      <c r="D13" s="258" t="n">
        <v>6</v>
      </c>
      <c r="E13" s="249" t="n"/>
      <c r="F13" s="249" t="n"/>
      <c r="G13" s="249" t="n"/>
      <c r="H13" s="249" t="n"/>
      <c r="I13" s="249" t="n"/>
      <c r="J13" s="249" t="n"/>
      <c r="K13" s="249" t="n"/>
      <c r="L13" s="249" t="n"/>
      <c r="M13" s="249" t="inlineStr">
        <is>
          <t>Guillermo/Carlos 2026-06-17</t>
        </is>
      </c>
      <c r="N13" s="256" t="inlineStr">
        <is>
          <t>6-person team; technician count still needs diligence.</t>
        </is>
      </c>
    </row>
    <row r="14">
      <c r="A14" s="249" t="n"/>
      <c r="B14" s="249" t="inlineStr">
        <is>
          <t>Revenue / tech proxy</t>
        </is>
      </c>
      <c r="C14" s="249" t="n"/>
      <c r="D14" s="259">
        <f>D9/D13</f>
        <v/>
      </c>
      <c r="E14" s="249" t="n"/>
      <c r="F14" s="249" t="n"/>
      <c r="G14" s="249" t="n"/>
      <c r="H14" s="249" t="n"/>
      <c r="I14" s="249" t="n"/>
      <c r="J14" s="249" t="n"/>
      <c r="K14" s="249" t="n"/>
      <c r="L14" s="249" t="n"/>
      <c r="M14" s="249" t="inlineStr">
        <is>
          <t>Formula</t>
        </is>
      </c>
      <c r="N14" s="256" t="inlineStr">
        <is>
          <t>Useful only after technician count is verified.</t>
        </is>
      </c>
    </row>
    <row r="15">
      <c r="A15" s="249" t="n"/>
      <c r="B15" s="249" t="n"/>
      <c r="C15" s="249" t="n"/>
      <c r="D15" s="249" t="n"/>
      <c r="E15" s="249" t="n"/>
      <c r="F15" s="249" t="n"/>
      <c r="G15" s="249" t="n"/>
      <c r="H15" s="249" t="n"/>
      <c r="I15" s="249" t="n"/>
      <c r="J15" s="249" t="n"/>
      <c r="K15" s="249" t="n"/>
      <c r="L15" s="249" t="n"/>
      <c r="M15" s="249" t="n"/>
      <c r="N15" s="249" t="n"/>
    </row>
    <row r="16">
      <c r="A16" s="249" t="n"/>
      <c r="B16" s="249" t="n"/>
      <c r="C16" s="249" t="n"/>
      <c r="D16" s="249" t="n"/>
      <c r="E16" s="249" t="n"/>
      <c r="F16" s="249" t="n"/>
      <c r="G16" s="249" t="n"/>
      <c r="H16" s="249" t="n"/>
      <c r="I16" s="249" t="n"/>
      <c r="J16" s="249" t="n"/>
      <c r="K16" s="249" t="n"/>
      <c r="L16" s="249" t="n"/>
      <c r="M16" s="249" t="n"/>
      <c r="N16" s="249" t="n"/>
    </row>
    <row r="17">
      <c r="A17" s="249" t="n"/>
      <c r="B17" s="253" t="inlineStr">
        <is>
          <t>Transaction assumptions</t>
        </is>
      </c>
      <c r="C17" s="249" t="n"/>
      <c r="D17" s="249" t="n"/>
      <c r="E17" s="249" t="n"/>
      <c r="F17" s="249" t="n"/>
      <c r="G17" s="249" t="n"/>
      <c r="H17" s="249" t="n"/>
      <c r="I17" s="249" t="n"/>
      <c r="J17" s="249" t="n"/>
      <c r="K17" s="249" t="n"/>
      <c r="L17" s="249" t="n"/>
      <c r="M17" s="249" t="n"/>
      <c r="N17" s="249" t="n"/>
    </row>
    <row r="18">
      <c r="A18" s="249" t="n"/>
      <c r="B18" s="249" t="inlineStr">
        <is>
          <t>Prior offer / TEV proxy</t>
        </is>
      </c>
      <c r="C18" s="249" t="n"/>
      <c r="D18" s="254" t="n">
        <v>2500</v>
      </c>
      <c r="E18" s="249" t="n"/>
      <c r="F18" s="249" t="n"/>
      <c r="G18" s="249" t="n"/>
      <c r="H18" s="249" t="n"/>
      <c r="I18" s="249" t="n"/>
      <c r="J18" s="249" t="n"/>
      <c r="K18" s="249" t="n"/>
      <c r="L18" s="249" t="n"/>
      <c r="M18" s="249" t="inlineStr">
        <is>
          <t>Melissa call 2026-06-17</t>
        </is>
      </c>
      <c r="N18" s="256" t="inlineStr">
        <is>
          <t>Seller reportedly had $2.5M offer last year; use as proxy, not valuation conclusion.</t>
        </is>
      </c>
    </row>
    <row r="19">
      <c r="A19" s="249" t="n"/>
      <c r="B19" s="249" t="inlineStr">
        <is>
          <t>Entry multiple proxy</t>
        </is>
      </c>
      <c r="C19" s="249" t="n"/>
      <c r="D19" s="260">
        <f>D18/D10</f>
        <v/>
      </c>
      <c r="E19" s="249" t="n"/>
      <c r="F19" s="249" t="n"/>
      <c r="G19" s="249" t="n"/>
      <c r="H19" s="249" t="n"/>
      <c r="I19" s="249" t="n"/>
      <c r="J19" s="249" t="n"/>
      <c r="K19" s="249" t="n"/>
      <c r="L19" s="249" t="n"/>
      <c r="M19" s="249" t="inlineStr">
        <is>
          <t>Formula</t>
        </is>
      </c>
      <c r="N19" s="256" t="inlineStr">
        <is>
          <t>Implied by prior-offer proxy and $500K EBITDA.</t>
        </is>
      </c>
    </row>
    <row r="20">
      <c r="A20" s="249" t="n"/>
      <c r="B20" s="249" t="inlineStr">
        <is>
          <t>Transaction costs</t>
        </is>
      </c>
      <c r="C20" s="249" t="n"/>
      <c r="D20" s="257" t="n">
        <v>0.05</v>
      </c>
      <c r="E20" s="249" t="n"/>
      <c r="F20" s="249" t="n"/>
      <c r="G20" s="249" t="n"/>
      <c r="H20" s="249" t="n"/>
      <c r="I20" s="249" t="n"/>
      <c r="J20" s="249" t="n"/>
      <c r="K20" s="249" t="n"/>
      <c r="L20" s="249" t="n"/>
      <c r="M20" s="249" t="inlineStr">
        <is>
          <t>Baseline workbook</t>
        </is>
      </c>
      <c r="N20" s="256" t="inlineStr">
        <is>
          <t>Carryover placeholder from single-acquisition model; diligence needed.</t>
        </is>
      </c>
    </row>
    <row r="21">
      <c r="A21" s="249" t="n"/>
      <c r="B21" s="249" t="inlineStr">
        <is>
          <t>Cash to balance sheet</t>
        </is>
      </c>
      <c r="C21" s="249" t="n"/>
      <c r="D21" s="254" t="n">
        <v>200</v>
      </c>
      <c r="E21" s="249" t="n"/>
      <c r="F21" s="249" t="n"/>
      <c r="G21" s="249" t="n"/>
      <c r="H21" s="249" t="n"/>
      <c r="I21" s="249" t="n"/>
      <c r="J21" s="249" t="n"/>
      <c r="K21" s="249" t="n"/>
      <c r="L21" s="249" t="n"/>
      <c r="M21" s="249" t="inlineStr">
        <is>
          <t>Baseline workbook</t>
        </is>
      </c>
      <c r="N21" s="256" t="inlineStr">
        <is>
          <t>Placeholder from baseline workbook; adjust after operating cash need is known.</t>
        </is>
      </c>
    </row>
    <row r="22">
      <c r="A22" s="249" t="n"/>
      <c r="B22" s="249" t="inlineStr">
        <is>
          <t>Seller note % of TEV</t>
        </is>
      </c>
      <c r="C22" s="249" t="n"/>
      <c r="D22" s="257" t="n">
        <v>0.3</v>
      </c>
      <c r="E22" s="249" t="n"/>
      <c r="F22" s="249" t="n"/>
      <c r="G22" s="249" t="n"/>
      <c r="H22" s="249" t="n"/>
      <c r="I22" s="249" t="n"/>
      <c r="J22" s="249" t="n"/>
      <c r="K22" s="249" t="n"/>
      <c r="L22" s="249" t="n"/>
      <c r="M22" s="249" t="inlineStr">
        <is>
          <t>Model input / Melissa structure</t>
        </is>
      </c>
      <c r="N22" s="256" t="inlineStr">
        <is>
          <t>Structure lever; stress-tested on Stress Tests tab.</t>
        </is>
      </c>
    </row>
    <row r="23">
      <c r="A23" s="249" t="n"/>
      <c r="B23" s="249" t="inlineStr">
        <is>
          <t>Seller note interest rate</t>
        </is>
      </c>
      <c r="C23" s="249" t="n"/>
      <c r="D23" s="257" t="n">
        <v>0.07000000000000001</v>
      </c>
      <c r="E23" s="249" t="n"/>
      <c r="F23" s="249" t="n"/>
      <c r="G23" s="249" t="n"/>
      <c r="H23" s="249" t="n"/>
      <c r="I23" s="249" t="n"/>
      <c r="J23" s="249" t="n"/>
      <c r="K23" s="249" t="n"/>
      <c r="L23" s="249" t="n"/>
      <c r="M23" s="249" t="inlineStr">
        <is>
          <t>Melissa call 2026-06-17</t>
        </is>
      </c>
      <c r="N23" s="256" t="inlineStr">
        <is>
          <t>Melissa range 6-8%; base at midpoint.</t>
        </is>
      </c>
    </row>
    <row r="24">
      <c r="A24" s="249" t="n"/>
      <c r="B24" s="249" t="inlineStr">
        <is>
          <t>Seller note tenor</t>
        </is>
      </c>
      <c r="C24" s="249" t="n"/>
      <c r="D24" s="258" t="n">
        <v>6</v>
      </c>
      <c r="E24" s="249" t="n"/>
      <c r="F24" s="249" t="n"/>
      <c r="G24" s="249" t="n"/>
      <c r="H24" s="249" t="n"/>
      <c r="I24" s="249" t="n"/>
      <c r="J24" s="249" t="n"/>
      <c r="K24" s="249" t="n"/>
      <c r="L24" s="249" t="n"/>
      <c r="M24" s="249" t="inlineStr">
        <is>
          <t>Melissa call 2026-06-17</t>
        </is>
      </c>
      <c r="N24" s="256" t="inlineStr">
        <is>
          <t>Melissa range 5-7 years; base at midpoint.</t>
        </is>
      </c>
    </row>
    <row r="25">
      <c r="A25" s="249" t="n"/>
      <c r="B25" s="249" t="inlineStr">
        <is>
          <t>Rollover equity %</t>
        </is>
      </c>
      <c r="C25" s="249" t="n"/>
      <c r="D25" s="257" t="n">
        <v>0.125</v>
      </c>
      <c r="E25" s="249" t="n"/>
      <c r="F25" s="249" t="n"/>
      <c r="G25" s="249" t="n"/>
      <c r="H25" s="249" t="n"/>
      <c r="I25" s="249" t="n"/>
      <c r="J25" s="249" t="n"/>
      <c r="K25" s="249" t="n"/>
      <c r="L25" s="249" t="n"/>
      <c r="M25" s="249" t="inlineStr">
        <is>
          <t>Jay + Melissa 2026-06-17</t>
        </is>
      </c>
      <c r="N25" s="256" t="inlineStr">
        <is>
          <t>Jay suggested 10-15% max; Melissa said minority governance risk is low.</t>
        </is>
      </c>
    </row>
    <row r="26">
      <c r="A26" s="249" t="n"/>
      <c r="B26" s="249" t="inlineStr">
        <is>
          <t>Term debt at close</t>
        </is>
      </c>
      <c r="C26" s="249" t="n"/>
      <c r="D26" s="258" t="n">
        <v>0</v>
      </c>
      <c r="E26" s="249" t="n"/>
      <c r="F26" s="249" t="n"/>
      <c r="G26" s="249" t="n"/>
      <c r="H26" s="249" t="n"/>
      <c r="I26" s="249" t="n"/>
      <c r="J26" s="249" t="n"/>
      <c r="K26" s="249" t="n"/>
      <c r="L26" s="249" t="n"/>
      <c r="M26" s="249" t="inlineStr">
        <is>
          <t>Melissa call 2026-06-17</t>
        </is>
      </c>
      <c r="N26" s="256" t="inlineStr">
        <is>
          <t>No bank debt expected at this size.</t>
        </is>
      </c>
    </row>
    <row r="27">
      <c r="A27" s="249" t="n"/>
      <c r="B27" s="249" t="inlineStr">
        <is>
          <t>Bank debt threshold EBITDA</t>
        </is>
      </c>
      <c r="C27" s="249" t="n"/>
      <c r="D27" s="254" t="n">
        <v>2000</v>
      </c>
      <c r="E27" s="249" t="n"/>
      <c r="F27" s="249" t="n"/>
      <c r="G27" s="249" t="n"/>
      <c r="H27" s="249" t="n"/>
      <c r="I27" s="249" t="n"/>
      <c r="J27" s="249" t="n"/>
      <c r="K27" s="249" t="n"/>
      <c r="L27" s="249" t="n"/>
      <c r="M27" s="249" t="inlineStr">
        <is>
          <t>Melissa call 2026-06-17</t>
        </is>
      </c>
      <c r="N27" s="256" t="inlineStr">
        <is>
          <t>~$2M EBITDA minimum for bank debt.</t>
        </is>
      </c>
    </row>
    <row r="28">
      <c r="A28" s="249" t="n"/>
      <c r="B28" s="249" t="inlineStr">
        <is>
          <t>Indicative bank facility</t>
        </is>
      </c>
      <c r="C28" s="249" t="n"/>
      <c r="D28" s="254" t="n">
        <v>5000</v>
      </c>
      <c r="E28" s="249" t="n"/>
      <c r="F28" s="249" t="n"/>
      <c r="G28" s="249" t="n"/>
      <c r="H28" s="249" t="n"/>
      <c r="I28" s="249" t="n"/>
      <c r="J28" s="249" t="n"/>
      <c r="K28" s="249" t="n"/>
      <c r="L28" s="249" t="n"/>
      <c r="M28" s="249" t="inlineStr">
        <is>
          <t>Melissa call 2026-06-17</t>
        </is>
      </c>
      <c r="N28" s="256" t="inlineStr">
        <is>
          <t>~$5M facility once threshold is reached.</t>
        </is>
      </c>
    </row>
    <row r="29">
      <c r="A29" s="249" t="n"/>
      <c r="B29" s="249" t="n"/>
      <c r="C29" s="249" t="n"/>
      <c r="D29" s="249" t="n"/>
      <c r="E29" s="249" t="n"/>
      <c r="F29" s="249" t="n"/>
      <c r="G29" s="249" t="n"/>
      <c r="H29" s="249" t="n"/>
      <c r="I29" s="249" t="n"/>
      <c r="J29" s="249" t="n"/>
      <c r="K29" s="249" t="n"/>
      <c r="L29" s="249" t="n"/>
      <c r="M29" s="249" t="n"/>
      <c r="N29" s="249" t="n"/>
    </row>
    <row r="30">
      <c r="A30" s="249" t="n"/>
      <c r="B30" s="249" t="n"/>
      <c r="C30" s="249" t="n"/>
      <c r="D30" s="249" t="n"/>
      <c r="E30" s="249" t="n"/>
      <c r="F30" s="249" t="n"/>
      <c r="G30" s="249" t="n"/>
      <c r="H30" s="249" t="n"/>
      <c r="I30" s="249" t="n"/>
      <c r="J30" s="249" t="n"/>
      <c r="K30" s="249" t="n"/>
      <c r="L30" s="249" t="n"/>
      <c r="M30" s="249" t="n"/>
      <c r="N30" s="249" t="n"/>
    </row>
    <row r="31">
      <c r="A31" s="249" t="n"/>
      <c r="B31" s="253" t="inlineStr">
        <is>
          <t>Sources &amp; uses</t>
        </is>
      </c>
      <c r="C31" s="249" t="n"/>
      <c r="D31" s="249" t="n"/>
      <c r="E31" s="249" t="n"/>
      <c r="F31" s="249" t="n"/>
      <c r="G31" s="249" t="n"/>
      <c r="H31" s="249" t="n"/>
      <c r="I31" s="249" t="n"/>
      <c r="J31" s="249" t="n"/>
      <c r="K31" s="249" t="n"/>
      <c r="L31" s="249" t="n"/>
      <c r="M31" s="249" t="n"/>
      <c r="N31" s="249" t="n"/>
    </row>
    <row r="32">
      <c r="A32" s="249" t="n"/>
      <c r="B32" s="249" t="inlineStr">
        <is>
          <t>TEV</t>
        </is>
      </c>
      <c r="C32" s="249" t="n"/>
      <c r="D32" s="261">
        <f>D18</f>
        <v/>
      </c>
      <c r="E32" s="249" t="n"/>
      <c r="F32" s="249" t="n"/>
      <c r="G32" s="249" t="n"/>
      <c r="H32" s="249" t="n"/>
      <c r="I32" s="249" t="n"/>
      <c r="J32" s="249" t="n"/>
      <c r="K32" s="249" t="n"/>
      <c r="L32" s="249" t="n"/>
      <c r="M32" s="249" t="inlineStr">
        <is>
          <t>Formula</t>
        </is>
      </c>
      <c r="N32" s="249" t="inlineStr">
        <is>
          <t>Capital stack is intentionally simple for the first pass.</t>
        </is>
      </c>
    </row>
    <row r="33">
      <c r="A33" s="249" t="n"/>
      <c r="B33" s="249" t="inlineStr">
        <is>
          <t>Transaction costs</t>
        </is>
      </c>
      <c r="C33" s="249" t="n"/>
      <c r="D33" s="261">
        <f>D18*D20</f>
        <v/>
      </c>
      <c r="E33" s="249" t="n"/>
      <c r="F33" s="249" t="n"/>
      <c r="G33" s="249" t="n"/>
      <c r="H33" s="249" t="n"/>
      <c r="I33" s="249" t="n"/>
      <c r="J33" s="249" t="n"/>
      <c r="K33" s="249" t="n"/>
      <c r="L33" s="249" t="n"/>
      <c r="M33" s="249" t="n"/>
      <c r="N33" s="249" t="n"/>
    </row>
    <row r="34">
      <c r="A34" s="249" t="n"/>
      <c r="B34" s="249" t="inlineStr">
        <is>
          <t>Cash to balance sheet</t>
        </is>
      </c>
      <c r="C34" s="249" t="n"/>
      <c r="D34" s="261">
        <f>D21</f>
        <v/>
      </c>
      <c r="E34" s="249" t="n"/>
      <c r="F34" s="249" t="n"/>
      <c r="G34" s="249" t="n"/>
      <c r="H34" s="249" t="n"/>
      <c r="I34" s="249" t="n"/>
      <c r="J34" s="249" t="n"/>
      <c r="K34" s="249" t="n"/>
      <c r="L34" s="249" t="n"/>
      <c r="M34" s="249" t="n"/>
      <c r="N34" s="249" t="n"/>
    </row>
    <row r="35">
      <c r="A35" s="249" t="n"/>
      <c r="B35" s="249" t="inlineStr">
        <is>
          <t>Total uses</t>
        </is>
      </c>
      <c r="C35" s="249" t="n"/>
      <c r="D35" s="261">
        <f>SUM(D32:D34)</f>
        <v/>
      </c>
      <c r="E35" s="249" t="n"/>
      <c r="F35" s="249" t="n"/>
      <c r="G35" s="249" t="n"/>
      <c r="H35" s="249" t="n"/>
      <c r="I35" s="249" t="n"/>
      <c r="J35" s="249" t="n"/>
      <c r="K35" s="249" t="n"/>
      <c r="L35" s="249" t="n"/>
      <c r="M35" s="249" t="n"/>
      <c r="N35" s="249" t="n"/>
    </row>
    <row r="36">
      <c r="A36" s="249" t="n"/>
      <c r="B36" s="249" t="inlineStr">
        <is>
          <t>Seller note</t>
        </is>
      </c>
      <c r="C36" s="249" t="n"/>
      <c r="D36" s="261">
        <f>D18*D22</f>
        <v/>
      </c>
      <c r="E36" s="249" t="n"/>
      <c r="F36" s="249" t="n"/>
      <c r="G36" s="249" t="n"/>
      <c r="H36" s="249" t="n"/>
      <c r="I36" s="249" t="n"/>
      <c r="J36" s="249" t="n"/>
      <c r="K36" s="249" t="n"/>
      <c r="L36" s="249" t="n"/>
      <c r="M36" s="249" t="n"/>
      <c r="N36" s="249" t="n"/>
    </row>
    <row r="37">
      <c r="A37" s="249" t="n"/>
      <c r="B37" s="249" t="inlineStr">
        <is>
          <t>Seller rollover</t>
        </is>
      </c>
      <c r="C37" s="249" t="n"/>
      <c r="D37" s="261">
        <f>D18*D25</f>
        <v/>
      </c>
      <c r="E37" s="249" t="n"/>
      <c r="F37" s="249" t="n"/>
      <c r="G37" s="249" t="n"/>
      <c r="H37" s="249" t="n"/>
      <c r="I37" s="249" t="n"/>
      <c r="J37" s="249" t="n"/>
      <c r="K37" s="249" t="n"/>
      <c r="L37" s="249" t="n"/>
      <c r="M37" s="249" t="n"/>
      <c r="N37" s="249" t="n"/>
    </row>
    <row r="38">
      <c r="A38" s="249" t="n"/>
      <c r="B38" s="249" t="inlineStr">
        <is>
          <t>Term debt</t>
        </is>
      </c>
      <c r="C38" s="249" t="n"/>
      <c r="D38" s="261">
        <f>D26</f>
        <v/>
      </c>
      <c r="E38" s="249" t="n"/>
      <c r="F38" s="249" t="n"/>
      <c r="G38" s="249" t="n"/>
      <c r="H38" s="249" t="n"/>
      <c r="I38" s="249" t="n"/>
      <c r="J38" s="249" t="n"/>
      <c r="K38" s="249" t="n"/>
      <c r="L38" s="249" t="n"/>
      <c r="M38" s="249" t="n"/>
      <c r="N38" s="249" t="n"/>
    </row>
    <row r="39">
      <c r="A39" s="249" t="n"/>
      <c r="B39" s="249" t="inlineStr">
        <is>
          <t>Investor equity required</t>
        </is>
      </c>
      <c r="C39" s="249" t="n"/>
      <c r="D39" s="261">
        <f>D35-D36-D37-D38</f>
        <v/>
      </c>
      <c r="E39" s="249" t="n"/>
      <c r="F39" s="249" t="n"/>
      <c r="G39" s="249" t="n"/>
      <c r="H39" s="249" t="n"/>
      <c r="I39" s="249" t="n"/>
      <c r="J39" s="249" t="n"/>
      <c r="K39" s="249" t="n"/>
      <c r="L39" s="249" t="n"/>
      <c r="M39" s="249" t="n"/>
      <c r="N39" s="249" t="n"/>
    </row>
    <row r="40">
      <c r="A40" s="249" t="n"/>
      <c r="B40" s="249" t="inlineStr">
        <is>
          <t>Check</t>
        </is>
      </c>
      <c r="C40" s="249" t="n"/>
      <c r="D40" s="261">
        <f>D35-SUM(D36:D39)</f>
        <v/>
      </c>
      <c r="E40" s="249" t="n"/>
      <c r="F40" s="249" t="n"/>
      <c r="G40" s="249" t="n"/>
      <c r="H40" s="249" t="n"/>
      <c r="I40" s="249" t="n"/>
      <c r="J40" s="249" t="n"/>
      <c r="K40" s="249" t="n"/>
      <c r="L40" s="249" t="n"/>
      <c r="M40" s="249" t="n"/>
      <c r="N40" s="249" t="n"/>
    </row>
    <row r="41">
      <c r="A41" s="249" t="n"/>
      <c r="B41" s="249" t="n"/>
      <c r="C41" s="249" t="n"/>
      <c r="D41" s="249" t="n"/>
      <c r="E41" s="249" t="n"/>
      <c r="F41" s="249" t="n"/>
      <c r="G41" s="249" t="n"/>
      <c r="H41" s="249" t="n"/>
      <c r="I41" s="249" t="n"/>
      <c r="J41" s="249" t="n"/>
      <c r="K41" s="249" t="n"/>
      <c r="L41" s="249" t="n"/>
      <c r="M41" s="249" t="n"/>
      <c r="N41" s="249" t="n"/>
    </row>
    <row r="42">
      <c r="A42" s="249" t="n"/>
      <c r="B42" s="249" t="n"/>
      <c r="C42" s="249" t="n"/>
      <c r="D42" s="249" t="n"/>
      <c r="E42" s="249" t="n"/>
      <c r="F42" s="249" t="n"/>
      <c r="G42" s="249" t="n"/>
      <c r="H42" s="249" t="n"/>
      <c r="I42" s="249" t="n"/>
      <c r="J42" s="249" t="n"/>
      <c r="K42" s="249" t="n"/>
      <c r="L42" s="249" t="n"/>
      <c r="M42" s="249" t="n"/>
      <c r="N42" s="249" t="n"/>
    </row>
    <row r="43">
      <c r="A43" s="249" t="n"/>
      <c r="B43" s="253" t="inlineStr">
        <is>
          <t>Operating forecast</t>
        </is>
      </c>
      <c r="C43" s="249" t="n"/>
      <c r="D43" s="249" t="n"/>
      <c r="E43" s="249" t="n"/>
      <c r="F43" s="249" t="n"/>
      <c r="G43" s="249" t="n"/>
      <c r="H43" s="249" t="n"/>
      <c r="I43" s="249" t="n"/>
      <c r="J43" s="249" t="n"/>
      <c r="K43" s="249" t="n"/>
      <c r="L43" s="249" t="n"/>
      <c r="M43" s="249" t="n"/>
      <c r="N43" s="249" t="n"/>
    </row>
    <row r="44">
      <c r="A44" s="249" t="n"/>
      <c r="B44" s="249" t="n"/>
      <c r="C44" s="249" t="n"/>
      <c r="D44" s="262" t="inlineStr">
        <is>
          <t>Close</t>
        </is>
      </c>
      <c r="E44" s="262" t="inlineStr">
        <is>
          <t>Y1</t>
        </is>
      </c>
      <c r="F44" s="262" t="inlineStr">
        <is>
          <t>Y2</t>
        </is>
      </c>
      <c r="G44" s="262" t="inlineStr">
        <is>
          <t>Y3</t>
        </is>
      </c>
      <c r="H44" s="262" t="inlineStr">
        <is>
          <t>Y4</t>
        </is>
      </c>
      <c r="I44" s="262" t="inlineStr">
        <is>
          <t>Y5</t>
        </is>
      </c>
      <c r="J44" s="249" t="n"/>
      <c r="K44" s="249" t="n"/>
      <c r="L44" s="249" t="n"/>
      <c r="M44" s="249" t="n"/>
      <c r="N44" s="249" t="n"/>
    </row>
    <row r="45">
      <c r="A45" s="249" t="n"/>
      <c r="B45" s="249" t="inlineStr">
        <is>
          <t>Core revenue</t>
        </is>
      </c>
      <c r="C45" s="249" t="n"/>
      <c r="D45" s="261">
        <f>D9</f>
        <v/>
      </c>
      <c r="E45" s="261">
        <f>D45*(1+$D$12)</f>
        <v/>
      </c>
      <c r="F45" s="261">
        <f>E45*(1+$D$12)</f>
        <v/>
      </c>
      <c r="G45" s="261">
        <f>F45*(1+$D$12)</f>
        <v/>
      </c>
      <c r="H45" s="261">
        <f>G45*(1+$D$12)</f>
        <v/>
      </c>
      <c r="I45" s="261">
        <f>H45*(1+$D$12)</f>
        <v/>
      </c>
      <c r="J45" s="249" t="n"/>
      <c r="K45" s="249" t="n"/>
      <c r="L45" s="249" t="n"/>
      <c r="M45" s="249" t="n"/>
      <c r="N45" s="249" t="n"/>
    </row>
    <row r="46">
      <c r="A46" s="249" t="n"/>
      <c r="B46" s="249" t="inlineStr">
        <is>
          <t>Acquired revenue</t>
        </is>
      </c>
      <c r="C46" s="249" t="n"/>
      <c r="D46" s="261">
        <f>'M&amp;A Schedule'!D22</f>
        <v/>
      </c>
      <c r="E46" s="261">
        <f>'M&amp;A Schedule'!E22</f>
        <v/>
      </c>
      <c r="F46" s="261">
        <f>'M&amp;A Schedule'!F22</f>
        <v/>
      </c>
      <c r="G46" s="261">
        <f>'M&amp;A Schedule'!G22</f>
        <v/>
      </c>
      <c r="H46" s="261">
        <f>'M&amp;A Schedule'!H22</f>
        <v/>
      </c>
      <c r="I46" s="261">
        <f>'M&amp;A Schedule'!I22</f>
        <v/>
      </c>
      <c r="J46" s="249" t="n"/>
      <c r="K46" s="249" t="n"/>
      <c r="L46" s="249" t="n"/>
      <c r="M46" s="249" t="n"/>
      <c r="N46" s="249" t="n"/>
    </row>
    <row r="47">
      <c r="A47" s="249" t="n"/>
      <c r="B47" s="249" t="inlineStr">
        <is>
          <t>Total revenue</t>
        </is>
      </c>
      <c r="C47" s="249" t="n"/>
      <c r="D47" s="261">
        <f>SUM(D45:D46)</f>
        <v/>
      </c>
      <c r="E47" s="261">
        <f>SUM(E45:E46)</f>
        <v/>
      </c>
      <c r="F47" s="261">
        <f>SUM(F45:F46)</f>
        <v/>
      </c>
      <c r="G47" s="261">
        <f>SUM(G45:G46)</f>
        <v/>
      </c>
      <c r="H47" s="261">
        <f>SUM(H45:H46)</f>
        <v/>
      </c>
      <c r="I47" s="261">
        <f>SUM(I45:I46)</f>
        <v/>
      </c>
      <c r="J47" s="249" t="n"/>
      <c r="K47" s="249" t="n"/>
      <c r="L47" s="249" t="n"/>
      <c r="M47" s="249" t="n"/>
      <c r="N47" s="249" t="n"/>
    </row>
    <row r="48">
      <c r="A48" s="249" t="n"/>
      <c r="B48" s="249" t="inlineStr">
        <is>
          <t>Core EBITDA</t>
        </is>
      </c>
      <c r="C48" s="249" t="n"/>
      <c r="D48" s="261">
        <f>D10</f>
        <v/>
      </c>
      <c r="E48" s="261">
        <f>D48*(1+$D$12)</f>
        <v/>
      </c>
      <c r="F48" s="261">
        <f>E48*(1+$D$12)</f>
        <v/>
      </c>
      <c r="G48" s="261">
        <f>F48*(1+$D$12)</f>
        <v/>
      </c>
      <c r="H48" s="261">
        <f>G48*(1+$D$12)</f>
        <v/>
      </c>
      <c r="I48" s="261">
        <f>H48*(1+$D$12)</f>
        <v/>
      </c>
      <c r="J48" s="249" t="n"/>
      <c r="K48" s="249" t="n"/>
      <c r="L48" s="249" t="n"/>
      <c r="M48" s="249" t="n"/>
      <c r="N48" s="249" t="n"/>
    </row>
    <row r="49">
      <c r="A49" s="249" t="n"/>
      <c r="B49" s="249" t="inlineStr">
        <is>
          <t>Acquired EBITDA</t>
        </is>
      </c>
      <c r="C49" s="249" t="n"/>
      <c r="D49" s="261">
        <f>'M&amp;A Schedule'!D46</f>
        <v/>
      </c>
      <c r="E49" s="261">
        <f>'M&amp;A Schedule'!E46</f>
        <v/>
      </c>
      <c r="F49" s="261">
        <f>'M&amp;A Schedule'!F46</f>
        <v/>
      </c>
      <c r="G49" s="261">
        <f>'M&amp;A Schedule'!G46</f>
        <v/>
      </c>
      <c r="H49" s="261">
        <f>'M&amp;A Schedule'!H46</f>
        <v/>
      </c>
      <c r="I49" s="261">
        <f>'M&amp;A Schedule'!I46</f>
        <v/>
      </c>
      <c r="J49" s="249" t="n"/>
      <c r="K49" s="249" t="n"/>
      <c r="L49" s="249" t="n"/>
      <c r="M49" s="249" t="n"/>
      <c r="N49" s="249" t="n"/>
    </row>
    <row r="50">
      <c r="A50" s="249" t="n"/>
      <c r="B50" s="249" t="inlineStr">
        <is>
          <t>Corporate costs</t>
        </is>
      </c>
      <c r="C50" s="249" t="n"/>
      <c r="D50" s="261">
        <f>SUM(D57:D60)</f>
        <v/>
      </c>
      <c r="E50" s="261">
        <f>SUM(E57:E60)</f>
        <v/>
      </c>
      <c r="F50" s="261">
        <f>SUM(F57:F60)</f>
        <v/>
      </c>
      <c r="G50" s="261">
        <f>SUM(G57:G60)</f>
        <v/>
      </c>
      <c r="H50" s="261">
        <f>SUM(H57:H60)</f>
        <v/>
      </c>
      <c r="I50" s="261">
        <f>SUM(I57:I60)</f>
        <v/>
      </c>
      <c r="J50" s="249" t="n"/>
      <c r="K50" s="249" t="n"/>
      <c r="L50" s="249" t="n"/>
      <c r="M50" s="249" t="n"/>
      <c r="N50" s="249" t="n"/>
    </row>
    <row r="51">
      <c r="A51" s="249" t="n"/>
      <c r="B51" s="249" t="inlineStr">
        <is>
          <t>Adjusted EBITDA</t>
        </is>
      </c>
      <c r="C51" s="249" t="n"/>
      <c r="D51" s="261">
        <f>SUM(D48:D49)-D50</f>
        <v/>
      </c>
      <c r="E51" s="261">
        <f>SUM(E48:E49)-E50</f>
        <v/>
      </c>
      <c r="F51" s="261">
        <f>SUM(F48:F49)-F50</f>
        <v/>
      </c>
      <c r="G51" s="261">
        <f>SUM(G48:G49)-G50</f>
        <v/>
      </c>
      <c r="H51" s="261">
        <f>SUM(H48:H49)-H50</f>
        <v/>
      </c>
      <c r="I51" s="261">
        <f>SUM(I48:I49)-I50</f>
        <v/>
      </c>
      <c r="J51" s="249" t="n"/>
      <c r="K51" s="249" t="n"/>
      <c r="L51" s="249" t="n"/>
      <c r="M51" s="249" t="n"/>
      <c r="N51" s="249" t="n"/>
    </row>
    <row r="52">
      <c r="A52" s="249" t="n"/>
      <c r="B52" s="249" t="inlineStr">
        <is>
          <t>EBITDA margin</t>
        </is>
      </c>
      <c r="C52" s="249" t="n"/>
      <c r="D52" s="263">
        <f>D51/D47</f>
        <v/>
      </c>
      <c r="E52" s="263">
        <f>E51/E47</f>
        <v/>
      </c>
      <c r="F52" s="263">
        <f>F51/F47</f>
        <v/>
      </c>
      <c r="G52" s="263">
        <f>G51/G47</f>
        <v/>
      </c>
      <c r="H52" s="263">
        <f>H51/H47</f>
        <v/>
      </c>
      <c r="I52" s="263">
        <f>I51/I47</f>
        <v/>
      </c>
      <c r="J52" s="249" t="n"/>
      <c r="K52" s="249" t="n"/>
      <c r="L52" s="249" t="n"/>
      <c r="M52" s="249" t="n"/>
      <c r="N52" s="249" t="n"/>
    </row>
    <row r="53">
      <c r="A53" s="249" t="n"/>
      <c r="B53" s="249" t="n"/>
      <c r="C53" s="249" t="n"/>
      <c r="D53" s="249" t="n"/>
      <c r="E53" s="249" t="n"/>
      <c r="F53" s="249" t="n"/>
      <c r="G53" s="249" t="n"/>
      <c r="H53" s="249" t="n"/>
      <c r="I53" s="249" t="n"/>
      <c r="J53" s="249" t="n"/>
      <c r="K53" s="249" t="n"/>
      <c r="L53" s="249" t="n"/>
      <c r="M53" s="249" t="n"/>
      <c r="N53" s="249" t="n"/>
    </row>
    <row r="54">
      <c r="A54" s="249" t="n"/>
      <c r="B54" s="249" t="n"/>
      <c r="C54" s="249" t="n"/>
      <c r="D54" s="249" t="n"/>
      <c r="E54" s="249" t="n"/>
      <c r="F54" s="249" t="n"/>
      <c r="G54" s="249" t="n"/>
      <c r="H54" s="249" t="n"/>
      <c r="I54" s="249" t="n"/>
      <c r="J54" s="249" t="n"/>
      <c r="K54" s="249" t="n"/>
      <c r="L54" s="249" t="n"/>
      <c r="M54" s="249" t="n"/>
      <c r="N54" s="249" t="n"/>
    </row>
    <row r="55">
      <c r="A55" s="249" t="n"/>
      <c r="B55" s="249" t="n"/>
      <c r="C55" s="249" t="n"/>
      <c r="D55" s="249" t="n"/>
      <c r="E55" s="249" t="n"/>
      <c r="F55" s="249" t="n"/>
      <c r="G55" s="249" t="n"/>
      <c r="H55" s="249" t="n"/>
      <c r="I55" s="249" t="n"/>
      <c r="J55" s="249" t="n"/>
      <c r="K55" s="249" t="n"/>
      <c r="L55" s="249" t="n"/>
      <c r="M55" s="249" t="n"/>
      <c r="N55" s="249" t="n"/>
    </row>
    <row r="56">
      <c r="A56" s="249" t="n"/>
      <c r="B56" s="253" t="inlineStr">
        <is>
          <t>Corporate cost build</t>
        </is>
      </c>
      <c r="C56" s="249" t="n"/>
      <c r="D56" s="249" t="n"/>
      <c r="E56" s="249" t="n"/>
      <c r="F56" s="249" t="n"/>
      <c r="G56" s="249" t="n"/>
      <c r="H56" s="249" t="n"/>
      <c r="I56" s="249" t="n"/>
      <c r="J56" s="249" t="n"/>
      <c r="K56" s="249" t="n"/>
      <c r="L56" s="249" t="n"/>
      <c r="M56" s="249" t="n"/>
      <c r="N56" s="249" t="n"/>
    </row>
    <row r="57">
      <c r="A57" s="249" t="n"/>
      <c r="B57" s="249" t="inlineStr">
        <is>
          <t>Kay salary / CEO comp</t>
        </is>
      </c>
      <c r="C57" s="249" t="n"/>
      <c r="D57" s="254" t="n">
        <v>150</v>
      </c>
      <c r="E57" s="254" t="n">
        <v>150</v>
      </c>
      <c r="F57" s="254" t="n">
        <v>175</v>
      </c>
      <c r="G57" s="254" t="n">
        <v>200</v>
      </c>
      <c r="H57" s="254" t="n">
        <v>225</v>
      </c>
      <c r="I57" s="254" t="n">
        <v>250</v>
      </c>
      <c r="J57" s="249" t="n"/>
      <c r="K57" s="249" t="n"/>
      <c r="L57" s="249" t="n"/>
      <c r="M57" s="249" t="n"/>
      <c r="N57" s="256" t="inlineStr">
        <is>
          <t>Input needed; placeholder for cash-flow pressure only.</t>
        </is>
      </c>
    </row>
    <row r="58">
      <c r="A58" s="249" t="n"/>
      <c r="B58" s="249" t="inlineStr">
        <is>
          <t>GM / ops lead</t>
        </is>
      </c>
      <c r="C58" s="249" t="n"/>
      <c r="D58" s="254" t="n">
        <v>0</v>
      </c>
      <c r="E58" s="254" t="n">
        <v>0</v>
      </c>
      <c r="F58" s="254" t="n">
        <v>125</v>
      </c>
      <c r="G58" s="254" t="n">
        <v>150</v>
      </c>
      <c r="H58" s="254" t="n">
        <v>175</v>
      </c>
      <c r="I58" s="254" t="n">
        <v>200</v>
      </c>
      <c r="J58" s="249" t="n"/>
      <c r="K58" s="249" t="n"/>
      <c r="L58" s="249" t="n"/>
      <c r="M58" s="249" t="n"/>
      <c r="N58" s="256" t="inlineStr">
        <is>
          <t>Layered future leadership per Melissa guidance.</t>
        </is>
      </c>
    </row>
    <row r="59">
      <c r="A59" s="249" t="n"/>
      <c r="B59" s="249" t="inlineStr">
        <is>
          <t>Accounting / software / admin</t>
        </is>
      </c>
      <c r="C59" s="249" t="n"/>
      <c r="D59" s="254" t="n">
        <v>50</v>
      </c>
      <c r="E59" s="254" t="n">
        <v>60</v>
      </c>
      <c r="F59" s="254" t="n">
        <v>75</v>
      </c>
      <c r="G59" s="254" t="n">
        <v>90</v>
      </c>
      <c r="H59" s="254" t="n">
        <v>110</v>
      </c>
      <c r="I59" s="254" t="n">
        <v>130</v>
      </c>
      <c r="J59" s="249" t="n"/>
      <c r="K59" s="249" t="n"/>
      <c r="L59" s="249" t="n"/>
      <c r="M59" s="249" t="n"/>
      <c r="N59" s="256" t="inlineStr">
        <is>
          <t>Shared back-end cost pool; verify with operator quotes.</t>
        </is>
      </c>
    </row>
    <row r="60">
      <c r="A60" s="249" t="n"/>
      <c r="B60" s="249" t="inlineStr">
        <is>
          <t>Other corporate costs</t>
        </is>
      </c>
      <c r="C60" s="249" t="n"/>
      <c r="D60" s="254" t="n">
        <v>0</v>
      </c>
      <c r="E60" s="254" t="n">
        <v>25</v>
      </c>
      <c r="F60" s="254" t="n">
        <v>50</v>
      </c>
      <c r="G60" s="254" t="n">
        <v>75</v>
      </c>
      <c r="H60" s="254" t="n">
        <v>100</v>
      </c>
      <c r="I60" s="254" t="n">
        <v>125</v>
      </c>
      <c r="J60" s="249" t="n"/>
      <c r="K60" s="249" t="n"/>
      <c r="L60" s="249" t="n"/>
      <c r="M60" s="249" t="n"/>
      <c r="N60" s="256" t="inlineStr">
        <is>
          <t>Placeholder for holding-company overhead.</t>
        </is>
      </c>
    </row>
    <row r="61">
      <c r="A61" s="249" t="n"/>
      <c r="B61" s="249" t="n"/>
      <c r="C61" s="249" t="n"/>
      <c r="D61" s="255" t="n"/>
      <c r="E61" s="255" t="n"/>
      <c r="F61" s="255" t="n"/>
      <c r="G61" s="255" t="n"/>
      <c r="H61" s="255" t="n"/>
      <c r="I61" s="255" t="n"/>
      <c r="J61" s="249" t="n"/>
      <c r="K61" s="249" t="n"/>
      <c r="L61" s="249" t="n"/>
      <c r="M61" s="249" t="n"/>
      <c r="N61" s="249" t="n"/>
    </row>
    <row r="62">
      <c r="A62" s="249" t="n"/>
      <c r="B62" s="249" t="n"/>
      <c r="C62" s="249" t="n"/>
      <c r="D62" s="255" t="n"/>
      <c r="E62" s="255" t="n"/>
      <c r="F62" s="255" t="n"/>
      <c r="G62" s="255" t="n"/>
      <c r="H62" s="255" t="n"/>
      <c r="I62" s="255" t="n"/>
      <c r="J62" s="249" t="n"/>
      <c r="K62" s="249" t="n"/>
      <c r="L62" s="249" t="n"/>
      <c r="M62" s="249" t="n"/>
      <c r="N62" s="249" t="n"/>
    </row>
    <row r="63">
      <c r="A63" s="249" t="n"/>
      <c r="B63" s="253" t="inlineStr">
        <is>
          <t>Cash flow / debt-service pressure</t>
        </is>
      </c>
      <c r="C63" s="249" t="n"/>
      <c r="D63" s="255" t="n"/>
      <c r="E63" s="255" t="n"/>
      <c r="F63" s="255" t="n"/>
      <c r="G63" s="255" t="n"/>
      <c r="H63" s="255" t="n"/>
      <c r="I63" s="255" t="n"/>
      <c r="J63" s="249" t="n"/>
      <c r="K63" s="249" t="n"/>
      <c r="L63" s="249" t="n"/>
      <c r="M63" s="249" t="n"/>
      <c r="N63" s="249" t="n"/>
    </row>
    <row r="64">
      <c r="A64" s="249" t="n"/>
      <c r="B64" s="249" t="inlineStr">
        <is>
          <t>Adjusted EBITDA</t>
        </is>
      </c>
      <c r="C64" s="249" t="n"/>
      <c r="D64" s="261">
        <f>D51</f>
        <v/>
      </c>
      <c r="E64" s="261">
        <f>E51</f>
        <v/>
      </c>
      <c r="F64" s="261">
        <f>F51</f>
        <v/>
      </c>
      <c r="G64" s="261">
        <f>G51</f>
        <v/>
      </c>
      <c r="H64" s="261">
        <f>H51</f>
        <v/>
      </c>
      <c r="I64" s="261">
        <f>I51</f>
        <v/>
      </c>
      <c r="J64" s="249" t="n"/>
      <c r="K64" s="249" t="n"/>
      <c r="L64" s="249" t="n"/>
      <c r="M64" s="249" t="n"/>
      <c r="N64" s="249" t="n"/>
    </row>
    <row r="65">
      <c r="A65" s="249" t="n"/>
      <c r="B65" s="249" t="inlineStr">
        <is>
          <t>Estimated capex</t>
        </is>
      </c>
      <c r="C65" s="249" t="n"/>
      <c r="D65" s="261">
        <f>D47*1.0%</f>
        <v/>
      </c>
      <c r="E65" s="261">
        <f>E47*1.0%</f>
        <v/>
      </c>
      <c r="F65" s="261">
        <f>F47*1.0%</f>
        <v/>
      </c>
      <c r="G65" s="261">
        <f>G47*1.0%</f>
        <v/>
      </c>
      <c r="H65" s="261">
        <f>H47*1.0%</f>
        <v/>
      </c>
      <c r="I65" s="261">
        <f>I47*1.0%</f>
        <v/>
      </c>
      <c r="J65" s="249" t="n"/>
      <c r="K65" s="249" t="n"/>
      <c r="L65" s="249" t="n"/>
      <c r="M65" s="249" t="n"/>
      <c r="N65" s="249" t="n"/>
    </row>
    <row r="66">
      <c r="A66" s="249" t="n"/>
      <c r="B66" s="249" t="inlineStr">
        <is>
          <t>Cash taxes placeholder</t>
        </is>
      </c>
      <c r="C66" s="249" t="n"/>
      <c r="D66" s="261">
        <f>MAX(D51-D68,0)*26.5%</f>
        <v/>
      </c>
      <c r="E66" s="261">
        <f>MAX(E51-E68,0)*26.5%</f>
        <v/>
      </c>
      <c r="F66" s="261">
        <f>MAX(F51-F68,0)*26.5%</f>
        <v/>
      </c>
      <c r="G66" s="261">
        <f>MAX(G51-G68,0)*26.5%</f>
        <v/>
      </c>
      <c r="H66" s="261">
        <f>MAX(H51-H68,0)*26.5%</f>
        <v/>
      </c>
      <c r="I66" s="261">
        <f>MAX(I51-I68,0)*26.5%</f>
        <v/>
      </c>
      <c r="J66" s="249" t="n"/>
      <c r="K66" s="249" t="n"/>
      <c r="L66" s="249" t="n"/>
      <c r="M66" s="249" t="n"/>
      <c r="N66" s="249" t="n"/>
    </row>
    <row r="67">
      <c r="A67" s="249" t="n"/>
      <c r="B67" s="249" t="inlineStr">
        <is>
          <t>Seller note interest</t>
        </is>
      </c>
      <c r="C67" s="249" t="n"/>
      <c r="D67" s="261">
        <f>(D36)*$D$23</f>
        <v/>
      </c>
      <c r="E67" s="261">
        <f>(D36)*$D$23</f>
        <v/>
      </c>
      <c r="F67" s="261">
        <f>(D36)*$D$23</f>
        <v/>
      </c>
      <c r="G67" s="261">
        <f>(D36)*$D$23</f>
        <v/>
      </c>
      <c r="H67" s="261">
        <f>(D36)*$D$23</f>
        <v/>
      </c>
      <c r="I67" s="261">
        <f>(D36)*$D$23</f>
        <v/>
      </c>
      <c r="J67" s="249" t="n"/>
      <c r="K67" s="249" t="n"/>
      <c r="L67" s="249" t="n"/>
      <c r="M67" s="249" t="n"/>
      <c r="N67" s="249" t="n"/>
    </row>
    <row r="68">
      <c r="A68" s="249" t="n"/>
      <c r="B68" s="249" t="inlineStr">
        <is>
          <t>Seller note amortization</t>
        </is>
      </c>
      <c r="C68" s="249" t="n"/>
      <c r="D68" s="261">
        <f>D36/$D$24</f>
        <v/>
      </c>
      <c r="E68" s="261">
        <f>D36/$D$24</f>
        <v/>
      </c>
      <c r="F68" s="261">
        <f>D36/$D$24</f>
        <v/>
      </c>
      <c r="G68" s="261">
        <f>D36/$D$24</f>
        <v/>
      </c>
      <c r="H68" s="261">
        <f>D36/$D$24</f>
        <v/>
      </c>
      <c r="I68" s="261">
        <f>D36/$D$24</f>
        <v/>
      </c>
      <c r="J68" s="249" t="n"/>
      <c r="K68" s="249" t="n"/>
      <c r="L68" s="249" t="n"/>
      <c r="M68" s="249" t="n"/>
      <c r="N68" s="249" t="n"/>
    </row>
    <row r="69">
      <c r="A69" s="249" t="n"/>
      <c r="B69" s="249" t="inlineStr">
        <is>
          <t>Term debt service</t>
        </is>
      </c>
      <c r="C69" s="249" t="n"/>
      <c r="D69" s="261">
        <f>0</f>
        <v/>
      </c>
      <c r="E69" s="261">
        <f>0</f>
        <v/>
      </c>
      <c r="F69" s="261">
        <f>0</f>
        <v/>
      </c>
      <c r="G69" s="261">
        <f>0</f>
        <v/>
      </c>
      <c r="H69" s="261">
        <f>0</f>
        <v/>
      </c>
      <c r="I69" s="261">
        <f>0</f>
        <v/>
      </c>
      <c r="J69" s="249" t="n"/>
      <c r="K69" s="249" t="n"/>
      <c r="L69" s="249" t="n"/>
      <c r="M69" s="249" t="n"/>
      <c r="N69" s="249" t="n"/>
    </row>
    <row r="70">
      <c r="A70" s="249" t="n"/>
      <c r="B70" s="249" t="inlineStr">
        <is>
          <t>Cash after debt service</t>
        </is>
      </c>
      <c r="C70" s="249" t="n"/>
      <c r="D70" s="261">
        <f>D64-D65-D66-D67-D68-D69</f>
        <v/>
      </c>
      <c r="E70" s="261">
        <f>E64-E65-E66-E67-E68-E69</f>
        <v/>
      </c>
      <c r="F70" s="261">
        <f>F64-F65-F66-F67-F68-F69</f>
        <v/>
      </c>
      <c r="G70" s="261">
        <f>G64-G65-G66-G67-G68-G69</f>
        <v/>
      </c>
      <c r="H70" s="261">
        <f>H64-H65-H66-H67-H68-H69</f>
        <v/>
      </c>
      <c r="I70" s="261">
        <f>I64-I65-I66-I67-I68-I69</f>
        <v/>
      </c>
      <c r="J70" s="249" t="n"/>
      <c r="K70" s="249" t="n"/>
      <c r="L70" s="249" t="n"/>
      <c r="M70" s="249" t="n"/>
      <c r="N70" s="249" t="n"/>
    </row>
    <row r="71">
      <c r="A71" s="249" t="n"/>
      <c r="B71" s="249" t="inlineStr">
        <is>
          <t>Debt service coverage</t>
        </is>
      </c>
      <c r="C71" s="249" t="n"/>
      <c r="D71" s="259">
        <f>D64/SUM(D67:D69)</f>
        <v/>
      </c>
      <c r="E71" s="259">
        <f>E64/SUM(E67:E69)</f>
        <v/>
      </c>
      <c r="F71" s="259">
        <f>F64/SUM(F67:F69)</f>
        <v/>
      </c>
      <c r="G71" s="259">
        <f>G64/SUM(G67:G69)</f>
        <v/>
      </c>
      <c r="H71" s="259">
        <f>H64/SUM(H67:H69)</f>
        <v/>
      </c>
      <c r="I71" s="259">
        <f>I64/SUM(I67:I69)</f>
        <v/>
      </c>
      <c r="J71" s="249" t="n"/>
      <c r="K71" s="249" t="n"/>
      <c r="L71" s="249" t="n"/>
      <c r="M71" s="249" t="n"/>
      <c r="N71" s="249" t="n"/>
    </row>
    <row r="72">
      <c r="A72" s="249" t="n"/>
      <c r="B72" s="249" t="inlineStr">
        <is>
          <t>Bank debt eligible?</t>
        </is>
      </c>
      <c r="C72" s="249" t="n"/>
      <c r="D72" s="259">
        <f>IF(D51&gt;=$D$27,"Yes","No")</f>
        <v/>
      </c>
      <c r="E72" s="259">
        <f>IF(E51&gt;=$D$27,"Yes","No")</f>
        <v/>
      </c>
      <c r="F72" s="259">
        <f>IF(F51&gt;=$D$27,"Yes","No")</f>
        <v/>
      </c>
      <c r="G72" s="259">
        <f>IF(G51&gt;=$D$27,"Yes","No")</f>
        <v/>
      </c>
      <c r="H72" s="259">
        <f>IF(H51&gt;=$D$27,"Yes","No")</f>
        <v/>
      </c>
      <c r="I72" s="259">
        <f>IF(I51&gt;=$D$27,"Yes","No")</f>
        <v/>
      </c>
      <c r="J72" s="249" t="n"/>
      <c r="K72" s="249" t="n"/>
      <c r="L72" s="249" t="n"/>
      <c r="M72" s="249" t="n"/>
      <c r="N72" s="249" t="n"/>
    </row>
    <row r="73">
      <c r="A73" s="249" t="n"/>
      <c r="B73" s="249" t="n"/>
      <c r="C73" s="249" t="n"/>
      <c r="D73" s="249" t="n"/>
      <c r="E73" s="249" t="n"/>
      <c r="F73" s="249" t="n"/>
      <c r="G73" s="249" t="n"/>
      <c r="H73" s="249" t="n"/>
      <c r="I73" s="249" t="n"/>
      <c r="J73" s="249" t="n"/>
      <c r="K73" s="249" t="n"/>
      <c r="L73" s="249" t="n"/>
      <c r="M73" s="249" t="n"/>
      <c r="N73" s="249" t="n"/>
    </row>
    <row r="74">
      <c r="A74" s="249" t="n"/>
      <c r="B74" s="249" t="n"/>
      <c r="C74" s="249" t="n"/>
      <c r="D74" s="249" t="n"/>
      <c r="E74" s="249" t="n"/>
      <c r="F74" s="249" t="n"/>
      <c r="G74" s="249" t="n"/>
      <c r="H74" s="249" t="n"/>
      <c r="I74" s="249" t="n"/>
      <c r="J74" s="249" t="n"/>
      <c r="K74" s="249" t="n"/>
      <c r="L74" s="249" t="n"/>
      <c r="M74" s="249" t="n"/>
      <c r="N74" s="249" t="n"/>
    </row>
    <row r="75">
      <c r="A75" s="249" t="n"/>
      <c r="B75" s="249" t="n"/>
      <c r="C75" s="249" t="n"/>
      <c r="D75" s="249" t="n"/>
      <c r="E75" s="249" t="n"/>
      <c r="F75" s="249" t="n"/>
      <c r="G75" s="249" t="n"/>
      <c r="H75" s="249" t="n"/>
      <c r="I75" s="249" t="n"/>
      <c r="J75" s="249" t="n"/>
      <c r="K75" s="249" t="n"/>
      <c r="L75" s="249" t="n"/>
      <c r="M75" s="249" t="n"/>
      <c r="N75" s="249" t="n"/>
    </row>
    <row r="76">
      <c r="A76" s="249" t="n"/>
      <c r="B76" s="253" t="inlineStr">
        <is>
          <t>CIO verdict logic</t>
        </is>
      </c>
      <c r="C76" s="249" t="n"/>
      <c r="D76" s="249" t="n"/>
      <c r="E76" s="249" t="n"/>
      <c r="F76" s="249" t="n"/>
      <c r="G76" s="249" t="n"/>
      <c r="H76" s="249" t="n"/>
      <c r="I76" s="249" t="n"/>
      <c r="J76" s="249" t="n"/>
      <c r="K76" s="249" t="n"/>
      <c r="L76" s="249" t="n"/>
      <c r="M76" s="249" t="n"/>
      <c r="N76" s="249" t="n"/>
    </row>
    <row r="77">
      <c r="A77" s="249" t="n"/>
      <c r="B77" s="249" t="inlineStr">
        <is>
          <t>Pest path supportability</t>
        </is>
      </c>
      <c r="C77" s="249" t="n"/>
      <c r="D77" s="259">
        <f>IF(MIN(E70:I70)&lt;0,"Does not support base structure",IF(MIN(E71:I71)&lt;1.25,"Marginal debt-service cushion","Supports first-pass structure"))</f>
        <v/>
      </c>
      <c r="E77" s="249" t="n"/>
      <c r="F77" s="249" t="n"/>
      <c r="G77" s="249" t="n"/>
      <c r="H77" s="249" t="n"/>
      <c r="I77" s="249" t="n"/>
      <c r="J77" s="249" t="n"/>
      <c r="K77" s="249" t="n"/>
      <c r="L77" s="249" t="n"/>
      <c r="M77" s="249" t="n"/>
      <c r="N77" s="249" t="n"/>
    </row>
    <row r="78">
      <c r="A78" s="249" t="n"/>
      <c r="B78" s="249" t="inlineStr">
        <is>
          <t>Buy-box fit</t>
        </is>
      </c>
      <c r="C78" s="249" t="n"/>
      <c r="D78" s="256" t="inlineStr">
        <is>
          <t>Good niche / undersized platform: economics fit, but initial EBITDA is below preferred $750K+ floor. Needs multi-acquisition path or organic growth proof.</t>
        </is>
      </c>
      <c r="E78" s="249" t="n"/>
      <c r="F78" s="249" t="n"/>
      <c r="G78" s="249" t="n"/>
      <c r="H78" s="249" t="n"/>
      <c r="I78" s="249" t="n"/>
      <c r="J78" s="249" t="n"/>
      <c r="K78" s="249" t="n"/>
      <c r="L78" s="249" t="n"/>
      <c r="M78" s="249" t="n"/>
      <c r="N78" s="24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5"/>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3" customWidth="1" min="1" max="1"/>
    <col width="30" customWidth="1" min="2" max="2"/>
    <col width="16" customWidth="1" min="3" max="3"/>
    <col width="14" customWidth="1" min="4" max="4"/>
    <col width="14" customWidth="1" min="5" max="5"/>
    <col width="14" customWidth="1" min="6" max="6"/>
    <col width="14" customWidth="1" min="7" max="7"/>
    <col width="14" customWidth="1" min="8" max="8"/>
    <col width="14" customWidth="1" min="9" max="9"/>
    <col width="18" customWidth="1" min="10" max="10"/>
    <col width="50" customWidth="1" min="11" max="11"/>
  </cols>
  <sheetData>
    <row r="1">
      <c r="A1" s="249" t="n"/>
      <c r="B1" s="249" t="n"/>
      <c r="C1" s="249" t="n"/>
      <c r="D1" s="249" t="n"/>
      <c r="E1" s="249" t="n"/>
      <c r="F1" s="249" t="n"/>
      <c r="G1" s="249" t="n"/>
      <c r="H1" s="249" t="n"/>
      <c r="I1" s="249" t="n"/>
      <c r="J1" s="249" t="n"/>
      <c r="K1" s="249" t="n"/>
    </row>
    <row r="2">
      <c r="A2" s="249" t="n"/>
      <c r="B2" s="250" t="inlineStr">
        <is>
          <t>M&amp;A Schedule</t>
        </is>
      </c>
      <c r="C2" s="249" t="n"/>
      <c r="D2" s="249" t="n"/>
      <c r="E2" s="249" t="n"/>
      <c r="F2" s="249" t="n"/>
      <c r="G2" s="249" t="n"/>
      <c r="H2" s="249" t="n"/>
      <c r="I2" s="249" t="n"/>
      <c r="J2" s="249" t="n"/>
      <c r="K2" s="249" t="n"/>
    </row>
    <row r="3">
      <c r="A3" s="249" t="n"/>
      <c r="B3" s="249" t="inlineStr">
        <is>
          <t>Acquisition cohorts use Melissa's first-pass structure. Inputs are deliberately average profiles, not target-level diligence.</t>
        </is>
      </c>
      <c r="C3" s="249" t="n"/>
      <c r="D3" s="249" t="n"/>
      <c r="E3" s="249" t="n"/>
      <c r="F3" s="249" t="n"/>
      <c r="G3" s="249" t="n"/>
      <c r="H3" s="249" t="n"/>
      <c r="I3" s="249" t="n"/>
      <c r="J3" s="249" t="n"/>
      <c r="K3" s="249" t="n"/>
    </row>
    <row r="4">
      <c r="A4" s="249" t="n"/>
      <c r="B4" s="249" t="n"/>
      <c r="C4" s="249" t="n"/>
      <c r="D4" s="249" t="n"/>
      <c r="E4" s="249" t="n"/>
      <c r="F4" s="249" t="n"/>
      <c r="G4" s="249" t="n"/>
      <c r="H4" s="249" t="n"/>
      <c r="I4" s="249" t="n"/>
      <c r="J4" s="249" t="n"/>
      <c r="K4" s="249" t="n"/>
    </row>
    <row r="5">
      <c r="A5" s="249" t="n"/>
      <c r="B5" s="249" t="n"/>
      <c r="C5" s="249" t="n"/>
      <c r="D5" s="249" t="n"/>
      <c r="E5" s="249" t="n"/>
      <c r="F5" s="249" t="n"/>
      <c r="G5" s="249" t="n"/>
      <c r="H5" s="249" t="n"/>
      <c r="I5" s="249" t="n"/>
      <c r="J5" s="249" t="n"/>
      <c r="K5" s="249" t="n"/>
    </row>
    <row r="6">
      <c r="A6" s="249" t="n"/>
      <c r="B6" s="249" t="n"/>
      <c r="C6" s="249" t="n"/>
      <c r="D6" s="252" t="inlineStr">
        <is>
          <t>Close</t>
        </is>
      </c>
      <c r="E6" s="252" t="inlineStr">
        <is>
          <t>Y1</t>
        </is>
      </c>
      <c r="F6" s="252" t="inlineStr">
        <is>
          <t>Y2</t>
        </is>
      </c>
      <c r="G6" s="252" t="inlineStr">
        <is>
          <t>Y3</t>
        </is>
      </c>
      <c r="H6" s="252" t="inlineStr">
        <is>
          <t>Y4</t>
        </is>
      </c>
      <c r="I6" s="252" t="inlineStr">
        <is>
          <t>Y5</t>
        </is>
      </c>
      <c r="J6" s="252" t="inlineStr">
        <is>
          <t>Source / status</t>
        </is>
      </c>
      <c r="K6" s="252" t="inlineStr">
        <is>
          <t>Notes</t>
        </is>
      </c>
    </row>
    <row r="7">
      <c r="A7" s="249" t="n"/>
      <c r="B7" s="249" t="n"/>
      <c r="C7" s="249" t="n"/>
      <c r="D7" s="249" t="n"/>
      <c r="E7" s="249" t="n"/>
      <c r="F7" s="249" t="n"/>
      <c r="G7" s="249" t="n"/>
      <c r="H7" s="249" t="n"/>
      <c r="I7" s="249" t="n"/>
      <c r="J7" s="249" t="n"/>
      <c r="K7" s="249" t="n"/>
    </row>
    <row r="8">
      <c r="A8" s="249" t="n"/>
      <c r="B8" s="253" t="inlineStr">
        <is>
          <t>Acquisition count by cohort</t>
        </is>
      </c>
      <c r="C8" s="249" t="n"/>
      <c r="D8" s="249" t="n"/>
      <c r="E8" s="249" t="n"/>
      <c r="F8" s="249" t="n"/>
      <c r="G8" s="249" t="n"/>
      <c r="H8" s="249" t="n"/>
      <c r="I8" s="249" t="n"/>
      <c r="J8" s="249" t="n"/>
      <c r="K8" s="249" t="n"/>
    </row>
    <row r="9">
      <c r="A9" s="249" t="n"/>
      <c r="B9" s="249" t="inlineStr">
        <is>
          <t>Core platform</t>
        </is>
      </c>
      <c r="C9" s="249" t="n"/>
      <c r="D9" s="258" t="n">
        <v>1</v>
      </c>
      <c r="E9" s="258" t="n">
        <v>0</v>
      </c>
      <c r="F9" s="258" t="n">
        <v>0</v>
      </c>
      <c r="G9" s="258" t="n">
        <v>0</v>
      </c>
      <c r="H9" s="258" t="n">
        <v>0</v>
      </c>
      <c r="I9" s="258" t="n">
        <v>0</v>
      </c>
      <c r="J9" s="249" t="inlineStr">
        <is>
          <t>Melissa / live target</t>
        </is>
      </c>
      <c r="K9" s="256" t="inlineStr">
        <is>
          <t>Existing $1.5M revenue, $500K EBITDA business.</t>
        </is>
      </c>
    </row>
    <row r="10">
      <c r="A10" s="249" t="n"/>
      <c r="B10" s="249" t="inlineStr">
        <is>
          <t>Aquihire / small book</t>
        </is>
      </c>
      <c r="C10" s="249" t="n"/>
      <c r="D10" s="258" t="n">
        <v>0</v>
      </c>
      <c r="E10" s="258" t="n">
        <v>1</v>
      </c>
      <c r="F10" s="258" t="n">
        <v>2</v>
      </c>
      <c r="G10" s="258" t="n">
        <v>2</v>
      </c>
      <c r="H10" s="258" t="n">
        <v>2</v>
      </c>
      <c r="I10" s="258" t="n">
        <v>2</v>
      </c>
      <c r="J10" s="249" t="inlineStr">
        <is>
          <t>Melissa example</t>
        </is>
      </c>
      <c r="K10" s="256" t="inlineStr">
        <is>
          <t>$500K revenue, $100K EBITDA, 2 technicians.</t>
        </is>
      </c>
    </row>
    <row r="11">
      <c r="A11" s="249" t="n"/>
      <c r="B11" s="249" t="inlineStr">
        <is>
          <t>Platform tuck-in</t>
        </is>
      </c>
      <c r="C11" s="249" t="n"/>
      <c r="D11" s="258" t="n">
        <v>0</v>
      </c>
      <c r="E11" s="258" t="n">
        <v>0</v>
      </c>
      <c r="F11" s="258" t="n">
        <v>0</v>
      </c>
      <c r="G11" s="258" t="n">
        <v>1</v>
      </c>
      <c r="H11" s="258" t="n">
        <v>1</v>
      </c>
      <c r="I11" s="258" t="n">
        <v>1</v>
      </c>
      <c r="J11" s="249" t="inlineStr">
        <is>
          <t>TBD</t>
        </is>
      </c>
      <c r="K11" s="256" t="inlineStr">
        <is>
          <t>Placeholder count only; profile needs real deal-flow evidence.</t>
        </is>
      </c>
    </row>
    <row r="12">
      <c r="A12" s="249" t="n"/>
      <c r="B12" s="249" t="inlineStr">
        <is>
          <t>De novo crews</t>
        </is>
      </c>
      <c r="C12" s="249" t="n"/>
      <c r="D12" s="258" t="n">
        <v>0</v>
      </c>
      <c r="E12" s="258" t="n">
        <v>0</v>
      </c>
      <c r="F12" s="258" t="n">
        <v>0</v>
      </c>
      <c r="G12" s="258" t="n">
        <v>0</v>
      </c>
      <c r="H12" s="258" t="n">
        <v>0</v>
      </c>
      <c r="I12" s="258" t="n">
        <v>0</v>
      </c>
      <c r="J12" s="249" t="inlineStr">
        <is>
          <t>Lower priority</t>
        </is>
      </c>
      <c r="K12" s="256" t="inlineStr">
        <is>
          <t>Melissa reframed as organic growth; aquihire preferred.</t>
        </is>
      </c>
    </row>
    <row r="13">
      <c r="A13" s="249" t="n"/>
      <c r="B13" s="249" t="n"/>
      <c r="C13" s="249" t="n"/>
      <c r="D13" s="249" t="n"/>
      <c r="E13" s="249" t="n"/>
      <c r="F13" s="249" t="n"/>
      <c r="G13" s="249" t="n"/>
      <c r="H13" s="249" t="n"/>
      <c r="I13" s="249" t="n"/>
      <c r="J13" s="249" t="n"/>
      <c r="K13" s="249" t="n"/>
    </row>
    <row r="14">
      <c r="A14" s="249" t="n"/>
      <c r="B14" s="249" t="n"/>
      <c r="C14" s="249" t="n"/>
      <c r="D14" s="249" t="n"/>
      <c r="E14" s="249" t="n"/>
      <c r="F14" s="249" t="n"/>
      <c r="G14" s="249" t="n"/>
      <c r="H14" s="249" t="n"/>
      <c r="I14" s="249" t="n"/>
      <c r="J14" s="249" t="n"/>
      <c r="K14" s="249" t="n"/>
    </row>
    <row r="15">
      <c r="A15" s="249" t="n"/>
      <c r="B15" s="249" t="n"/>
      <c r="C15" s="249" t="n"/>
      <c r="D15" s="249" t="n"/>
      <c r="E15" s="249" t="n"/>
      <c r="F15" s="249" t="n"/>
      <c r="G15" s="249" t="n"/>
      <c r="H15" s="249" t="n"/>
      <c r="I15" s="249" t="n"/>
      <c r="J15" s="249" t="n"/>
      <c r="K15" s="249" t="n"/>
    </row>
    <row r="16">
      <c r="A16" s="249" t="n"/>
      <c r="B16" s="249" t="n"/>
      <c r="C16" s="249" t="n"/>
      <c r="D16" s="249" t="n"/>
      <c r="E16" s="249" t="n"/>
      <c r="F16" s="249" t="n"/>
      <c r="G16" s="249" t="n"/>
      <c r="H16" s="249" t="n"/>
      <c r="I16" s="249" t="n"/>
      <c r="J16" s="249" t="n"/>
      <c r="K16" s="249" t="n"/>
    </row>
    <row r="17">
      <c r="A17" s="249" t="n"/>
      <c r="B17" s="253" t="inlineStr">
        <is>
          <t>Annual acquired revenue contribution</t>
        </is>
      </c>
      <c r="C17" s="249" t="n"/>
      <c r="D17" s="249" t="n"/>
      <c r="E17" s="249" t="n"/>
      <c r="F17" s="249" t="n"/>
      <c r="G17" s="249" t="n"/>
      <c r="H17" s="249" t="n"/>
      <c r="I17" s="249" t="n"/>
      <c r="J17" s="249" t="n"/>
      <c r="K17" s="249" t="n"/>
    </row>
    <row r="18">
      <c r="A18" s="249" t="n"/>
      <c r="B18" s="249" t="inlineStr">
        <is>
          <t>Core platform</t>
        </is>
      </c>
      <c r="C18" s="249" t="n"/>
      <c r="D18" s="261">
        <f>D9*'Pest Base Case'!$D$9</f>
        <v/>
      </c>
      <c r="E18" s="261">
        <f>E9*'Pest Base Case'!$D$9</f>
        <v/>
      </c>
      <c r="F18" s="261">
        <f>F9*'Pest Base Case'!$D$9</f>
        <v/>
      </c>
      <c r="G18" s="261">
        <f>G9*'Pest Base Case'!$D$9</f>
        <v/>
      </c>
      <c r="H18" s="261">
        <f>H9*'Pest Base Case'!$D$9</f>
        <v/>
      </c>
      <c r="I18" s="261">
        <f>I9*'Pest Base Case'!$D$9</f>
        <v/>
      </c>
      <c r="J18" s="249" t="n"/>
      <c r="K18" s="249" t="n"/>
    </row>
    <row r="19">
      <c r="A19" s="249" t="n"/>
      <c r="B19" s="249" t="inlineStr">
        <is>
          <t>Aquihire / small book</t>
        </is>
      </c>
      <c r="C19" s="249" t="n"/>
      <c r="D19" s="261">
        <f>SUM($D10:D10)*$D$29</f>
        <v/>
      </c>
      <c r="E19" s="261">
        <f>SUM($D10:E10)*$D$29</f>
        <v/>
      </c>
      <c r="F19" s="261">
        <f>SUM($D10:F10)*$D$29</f>
        <v/>
      </c>
      <c r="G19" s="261">
        <f>SUM($D10:G10)*$D$29</f>
        <v/>
      </c>
      <c r="H19" s="261">
        <f>SUM($D10:H10)*$D$29</f>
        <v/>
      </c>
      <c r="I19" s="261">
        <f>SUM($D10:I10)*$D$29</f>
        <v/>
      </c>
      <c r="J19" s="249" t="n"/>
      <c r="K19" s="249" t="n"/>
    </row>
    <row r="20">
      <c r="A20" s="249" t="n"/>
      <c r="B20" s="249" t="inlineStr">
        <is>
          <t>Platform tuck-in</t>
        </is>
      </c>
      <c r="C20" s="249" t="n"/>
      <c r="D20" s="261">
        <f>SUM($D11:D11)*$D$30</f>
        <v/>
      </c>
      <c r="E20" s="261">
        <f>SUM($D11:E11)*$D$30</f>
        <v/>
      </c>
      <c r="F20" s="261">
        <f>SUM($D11:F11)*$D$30</f>
        <v/>
      </c>
      <c r="G20" s="261">
        <f>SUM($D11:G11)*$D$30</f>
        <v/>
      </c>
      <c r="H20" s="261">
        <f>SUM($D11:H11)*$D$30</f>
        <v/>
      </c>
      <c r="I20" s="261">
        <f>SUM($D11:I11)*$D$30</f>
        <v/>
      </c>
      <c r="J20" s="249" t="n"/>
      <c r="K20" s="249" t="n"/>
    </row>
    <row r="21">
      <c r="A21" s="249" t="n"/>
      <c r="B21" s="249" t="inlineStr">
        <is>
          <t>De novo crews</t>
        </is>
      </c>
      <c r="C21" s="249" t="n"/>
      <c r="D21" s="261">
        <f>SUM($D12:D12)*$D$31</f>
        <v/>
      </c>
      <c r="E21" s="261">
        <f>SUM($D12:E12)*$D$31</f>
        <v/>
      </c>
      <c r="F21" s="261">
        <f>SUM($D12:F12)*$D$31</f>
        <v/>
      </c>
      <c r="G21" s="261">
        <f>SUM($D12:G12)*$D$31</f>
        <v/>
      </c>
      <c r="H21" s="261">
        <f>SUM($D12:H12)*$D$31</f>
        <v/>
      </c>
      <c r="I21" s="261">
        <f>SUM($D12:I12)*$D$31</f>
        <v/>
      </c>
      <c r="J21" s="249" t="n"/>
      <c r="K21" s="249" t="n"/>
    </row>
    <row r="22">
      <c r="A22" s="249" t="n"/>
      <c r="B22" s="249" t="inlineStr">
        <is>
          <t>Total acquired revenue</t>
        </is>
      </c>
      <c r="C22" s="249" t="n"/>
      <c r="D22" s="261">
        <f>SUM(D19:D21)</f>
        <v/>
      </c>
      <c r="E22" s="261">
        <f>SUM(E19:E21)</f>
        <v/>
      </c>
      <c r="F22" s="261">
        <f>SUM(F19:F21)</f>
        <v/>
      </c>
      <c r="G22" s="261">
        <f>SUM(G19:G21)</f>
        <v/>
      </c>
      <c r="H22" s="261">
        <f>SUM(H19:H21)</f>
        <v/>
      </c>
      <c r="I22" s="261">
        <f>SUM(I19:I21)</f>
        <v/>
      </c>
      <c r="J22" s="249" t="n"/>
      <c r="K22" s="249" t="n"/>
    </row>
    <row r="23">
      <c r="A23" s="249" t="n"/>
      <c r="B23" s="249" t="n"/>
      <c r="C23" s="249" t="n"/>
      <c r="D23" s="249" t="n"/>
      <c r="E23" s="249" t="n"/>
      <c r="F23" s="249" t="n"/>
      <c r="G23" s="249" t="n"/>
      <c r="H23" s="249" t="n"/>
      <c r="I23" s="249" t="n"/>
      <c r="J23" s="249" t="n"/>
      <c r="K23" s="249" t="n"/>
    </row>
    <row r="24">
      <c r="A24" s="249" t="n"/>
      <c r="B24" s="249" t="n"/>
      <c r="C24" s="249" t="n"/>
      <c r="D24" s="249" t="n"/>
      <c r="E24" s="249" t="n"/>
      <c r="F24" s="249" t="n"/>
      <c r="G24" s="249" t="n"/>
      <c r="H24" s="249" t="n"/>
      <c r="I24" s="249" t="n"/>
      <c r="J24" s="249" t="n"/>
      <c r="K24" s="249" t="n"/>
    </row>
    <row r="25">
      <c r="A25" s="249" t="n"/>
      <c r="B25" s="249" t="n"/>
      <c r="C25" s="249" t="n"/>
      <c r="D25" s="249" t="n"/>
      <c r="E25" s="249" t="n"/>
      <c r="F25" s="249" t="n"/>
      <c r="G25" s="249" t="n"/>
      <c r="H25" s="249" t="n"/>
      <c r="I25" s="249" t="n"/>
      <c r="J25" s="249" t="n"/>
      <c r="K25" s="249" t="n"/>
    </row>
    <row r="26">
      <c r="A26" s="249" t="n"/>
      <c r="B26" s="253" t="inlineStr">
        <is>
          <t>Average acquisition profile</t>
        </is>
      </c>
      <c r="C26" s="249" t="n"/>
      <c r="D26" s="249" t="n"/>
      <c r="E26" s="249" t="n"/>
      <c r="F26" s="249" t="n"/>
      <c r="G26" s="249" t="n"/>
      <c r="H26" s="249" t="n"/>
      <c r="I26" s="249" t="n"/>
      <c r="J26" s="249" t="n"/>
      <c r="K26" s="249" t="n"/>
    </row>
    <row r="27">
      <c r="A27" s="249" t="n"/>
      <c r="B27" s="249" t="inlineStr">
        <is>
          <t>Core platform revenue</t>
        </is>
      </c>
      <c r="C27" s="249" t="n"/>
      <c r="D27" s="254" t="n">
        <v>1500</v>
      </c>
      <c r="E27" s="249" t="n"/>
      <c r="F27" s="249" t="n"/>
      <c r="G27" s="249" t="n"/>
      <c r="H27" s="249" t="n"/>
      <c r="I27" s="249" t="n"/>
      <c r="J27" s="249" t="inlineStr">
        <is>
          <t>Melissa call</t>
        </is>
      </c>
      <c r="K27" s="249" t="n"/>
    </row>
    <row r="28">
      <c r="A28" s="249" t="n"/>
      <c r="B28" s="249" t="inlineStr">
        <is>
          <t>Core platform EBITDA</t>
        </is>
      </c>
      <c r="C28" s="249" t="n"/>
      <c r="D28" s="254" t="n">
        <v>500</v>
      </c>
      <c r="E28" s="249" t="n"/>
      <c r="F28" s="249" t="n"/>
      <c r="G28" s="249" t="n"/>
      <c r="H28" s="249" t="n"/>
      <c r="I28" s="249" t="n"/>
      <c r="J28" s="249" t="inlineStr">
        <is>
          <t>Melissa call</t>
        </is>
      </c>
      <c r="K28" s="249" t="n"/>
    </row>
    <row r="29">
      <c r="A29" s="249" t="n"/>
      <c r="B29" s="249" t="inlineStr">
        <is>
          <t>Aquihire revenue</t>
        </is>
      </c>
      <c r="C29" s="249" t="n"/>
      <c r="D29" s="254" t="n">
        <v>500</v>
      </c>
      <c r="E29" s="249" t="n"/>
      <c r="F29" s="249" t="n"/>
      <c r="G29" s="249" t="n"/>
      <c r="H29" s="249" t="n"/>
      <c r="I29" s="249" t="n"/>
      <c r="J29" s="249" t="inlineStr">
        <is>
          <t>Melissa example</t>
        </is>
      </c>
      <c r="K29" s="249" t="n"/>
    </row>
    <row r="30">
      <c r="A30" s="249" t="n"/>
      <c r="B30" s="249" t="inlineStr">
        <is>
          <t>Platform tuck-in revenue</t>
        </is>
      </c>
      <c r="C30" s="249" t="n"/>
      <c r="D30" s="254" t="n">
        <v>1500</v>
      </c>
      <c r="E30" s="249" t="n"/>
      <c r="F30" s="249" t="n"/>
      <c r="G30" s="249" t="n"/>
      <c r="H30" s="249" t="n"/>
      <c r="I30" s="249" t="n"/>
      <c r="J30" s="249" t="inlineStr">
        <is>
          <t>TBD / placeholder</t>
        </is>
      </c>
      <c r="K30" s="249" t="n"/>
    </row>
    <row r="31">
      <c r="A31" s="249" t="n"/>
      <c r="B31" s="249" t="inlineStr">
        <is>
          <t>De novo crew revenue</t>
        </is>
      </c>
      <c r="C31" s="249" t="n"/>
      <c r="D31" s="254" t="n">
        <v>0</v>
      </c>
      <c r="E31" s="249" t="n"/>
      <c r="F31" s="249" t="n"/>
      <c r="G31" s="249" t="n"/>
      <c r="H31" s="249" t="n"/>
      <c r="I31" s="249" t="n"/>
      <c r="J31" s="249" t="inlineStr">
        <is>
          <t>Not modeled</t>
        </is>
      </c>
      <c r="K31" s="249" t="n"/>
    </row>
    <row r="32">
      <c r="A32" s="249" t="n"/>
      <c r="B32" s="249" t="inlineStr">
        <is>
          <t>Aquihire EBITDA</t>
        </is>
      </c>
      <c r="C32" s="249" t="n"/>
      <c r="D32" s="254" t="n">
        <v>100</v>
      </c>
      <c r="E32" s="249" t="n"/>
      <c r="F32" s="249" t="n"/>
      <c r="G32" s="249" t="n"/>
      <c r="H32" s="249" t="n"/>
      <c r="I32" s="249" t="n"/>
      <c r="J32" s="249" t="inlineStr">
        <is>
          <t>Melissa example</t>
        </is>
      </c>
      <c r="K32" s="249" t="n"/>
    </row>
    <row r="33">
      <c r="A33" s="249" t="n"/>
      <c r="B33" s="249" t="inlineStr">
        <is>
          <t>Platform tuck-in EBITDA</t>
        </is>
      </c>
      <c r="C33" s="249" t="n"/>
      <c r="D33" s="254" t="n">
        <v>300</v>
      </c>
      <c r="E33" s="249" t="n"/>
      <c r="F33" s="249" t="n"/>
      <c r="G33" s="249" t="n"/>
      <c r="H33" s="249" t="n"/>
      <c r="I33" s="249" t="n"/>
      <c r="J33" s="249" t="inlineStr">
        <is>
          <t>TBD / placeholder</t>
        </is>
      </c>
      <c r="K33" s="249" t="n"/>
    </row>
    <row r="34">
      <c r="A34" s="249" t="n"/>
      <c r="B34" s="249" t="inlineStr">
        <is>
          <t>De novo crew EBITDA</t>
        </is>
      </c>
      <c r="C34" s="249" t="n"/>
      <c r="D34" s="254" t="n">
        <v>0</v>
      </c>
      <c r="E34" s="249" t="n"/>
      <c r="F34" s="249" t="n"/>
      <c r="G34" s="249" t="n"/>
      <c r="H34" s="249" t="n"/>
      <c r="I34" s="249" t="n"/>
      <c r="J34" s="249" t="inlineStr">
        <is>
          <t>Not modeled</t>
        </is>
      </c>
      <c r="K34" s="249" t="n"/>
    </row>
    <row r="35">
      <c r="A35" s="249" t="n"/>
      <c r="B35" s="249" t="inlineStr">
        <is>
          <t>Aquihire techs</t>
        </is>
      </c>
      <c r="C35" s="249" t="n"/>
      <c r="D35" s="258" t="n">
        <v>2</v>
      </c>
      <c r="E35" s="249" t="n"/>
      <c r="F35" s="249" t="n"/>
      <c r="G35" s="249" t="n"/>
      <c r="H35" s="249" t="n"/>
      <c r="I35" s="249" t="n"/>
      <c r="J35" s="249" t="inlineStr">
        <is>
          <t>Melissa example</t>
        </is>
      </c>
      <c r="K35" s="249" t="n"/>
    </row>
    <row r="36">
      <c r="A36" s="249" t="n"/>
      <c r="B36" s="249" t="n"/>
      <c r="C36" s="249" t="n"/>
      <c r="D36" s="249" t="n"/>
      <c r="E36" s="249" t="n"/>
      <c r="F36" s="249" t="n"/>
      <c r="G36" s="249" t="n"/>
      <c r="H36" s="249" t="n"/>
      <c r="I36" s="249" t="n"/>
      <c r="J36" s="249" t="n"/>
      <c r="K36" s="249" t="n"/>
    </row>
    <row r="37">
      <c r="A37" s="249" t="n"/>
      <c r="B37" s="249" t="n"/>
      <c r="C37" s="249" t="n"/>
      <c r="D37" s="249" t="n"/>
      <c r="E37" s="249" t="n"/>
      <c r="F37" s="249" t="n"/>
      <c r="G37" s="249" t="n"/>
      <c r="H37" s="249" t="n"/>
      <c r="I37" s="249" t="n"/>
      <c r="J37" s="249" t="n"/>
      <c r="K37" s="249" t="n"/>
    </row>
    <row r="38">
      <c r="A38" s="249" t="n"/>
      <c r="B38" s="249" t="n"/>
      <c r="C38" s="249" t="n"/>
      <c r="D38" s="249" t="n"/>
      <c r="E38" s="249" t="n"/>
      <c r="F38" s="249" t="n"/>
      <c r="G38" s="249" t="n"/>
      <c r="H38" s="249" t="n"/>
      <c r="I38" s="249" t="n"/>
      <c r="J38" s="249" t="n"/>
      <c r="K38" s="249" t="n"/>
    </row>
    <row r="39">
      <c r="A39" s="249" t="n"/>
      <c r="B39" s="249" t="n"/>
      <c r="C39" s="249" t="n"/>
      <c r="D39" s="249" t="n"/>
      <c r="E39" s="249" t="n"/>
      <c r="F39" s="249" t="n"/>
      <c r="G39" s="249" t="n"/>
      <c r="H39" s="249" t="n"/>
      <c r="I39" s="249" t="n"/>
      <c r="J39" s="249" t="n"/>
      <c r="K39" s="249" t="n"/>
    </row>
    <row r="40">
      <c r="A40" s="249" t="n"/>
      <c r="B40" s="249" t="n"/>
      <c r="C40" s="249" t="n"/>
      <c r="D40" s="249" t="n"/>
      <c r="E40" s="249" t="n"/>
      <c r="F40" s="249" t="n"/>
      <c r="G40" s="249" t="n"/>
      <c r="H40" s="249" t="n"/>
      <c r="I40" s="249" t="n"/>
      <c r="J40" s="249" t="n"/>
      <c r="K40" s="249" t="n"/>
    </row>
    <row r="41">
      <c r="A41" s="249" t="n"/>
      <c r="B41" s="253" t="inlineStr">
        <is>
          <t>Annual acquired EBITDA contribution</t>
        </is>
      </c>
      <c r="C41" s="249" t="n"/>
      <c r="D41" s="249" t="n"/>
      <c r="E41" s="249" t="n"/>
      <c r="F41" s="249" t="n"/>
      <c r="G41" s="249" t="n"/>
      <c r="H41" s="249" t="n"/>
      <c r="I41" s="249" t="n"/>
      <c r="J41" s="249" t="n"/>
      <c r="K41" s="249" t="n"/>
    </row>
    <row r="42">
      <c r="A42" s="249" t="n"/>
      <c r="B42" s="249" t="inlineStr">
        <is>
          <t>Core platform</t>
        </is>
      </c>
      <c r="C42" s="249" t="n"/>
      <c r="D42" s="261">
        <f>D9*$D$28</f>
        <v/>
      </c>
      <c r="E42" s="261">
        <f>E9*$D$28</f>
        <v/>
      </c>
      <c r="F42" s="261">
        <f>F9*$D$28</f>
        <v/>
      </c>
      <c r="G42" s="261">
        <f>G9*$D$28</f>
        <v/>
      </c>
      <c r="H42" s="261">
        <f>H9*$D$28</f>
        <v/>
      </c>
      <c r="I42" s="261">
        <f>I9*$D$28</f>
        <v/>
      </c>
      <c r="J42" s="249" t="n"/>
      <c r="K42" s="249" t="n"/>
    </row>
    <row r="43">
      <c r="A43" s="249" t="n"/>
      <c r="B43" s="249" t="inlineStr">
        <is>
          <t>Aquihire / small book</t>
        </is>
      </c>
      <c r="C43" s="249" t="n"/>
      <c r="D43" s="261">
        <f>SUM($D10:D10)*$D$32</f>
        <v/>
      </c>
      <c r="E43" s="261">
        <f>SUM($D10:E10)*$D$32</f>
        <v/>
      </c>
      <c r="F43" s="261">
        <f>SUM($D10:F10)*$D$32</f>
        <v/>
      </c>
      <c r="G43" s="261">
        <f>SUM($D10:G10)*$D$32</f>
        <v/>
      </c>
      <c r="H43" s="261">
        <f>SUM($D10:H10)*$D$32</f>
        <v/>
      </c>
      <c r="I43" s="261">
        <f>SUM($D10:I10)*$D$32</f>
        <v/>
      </c>
      <c r="J43" s="249" t="n"/>
      <c r="K43" s="249" t="n"/>
    </row>
    <row r="44">
      <c r="A44" s="249" t="n"/>
      <c r="B44" s="249" t="inlineStr">
        <is>
          <t>Platform tuck-in</t>
        </is>
      </c>
      <c r="C44" s="249" t="n"/>
      <c r="D44" s="261">
        <f>SUM($D11:D11)*$D$33</f>
        <v/>
      </c>
      <c r="E44" s="261">
        <f>SUM($D11:E11)*$D$33</f>
        <v/>
      </c>
      <c r="F44" s="261">
        <f>SUM($D11:F11)*$D$33</f>
        <v/>
      </c>
      <c r="G44" s="261">
        <f>SUM($D11:G11)*$D$33</f>
        <v/>
      </c>
      <c r="H44" s="261">
        <f>SUM($D11:H11)*$D$33</f>
        <v/>
      </c>
      <c r="I44" s="261">
        <f>SUM($D11:I11)*$D$33</f>
        <v/>
      </c>
      <c r="J44" s="249" t="n"/>
      <c r="K44" s="249" t="n"/>
    </row>
    <row r="45">
      <c r="A45" s="249" t="n"/>
      <c r="B45" s="249" t="inlineStr">
        <is>
          <t>De novo crews</t>
        </is>
      </c>
      <c r="C45" s="249" t="n"/>
      <c r="D45" s="261">
        <f>SUM($D12:D12)*$D$34</f>
        <v/>
      </c>
      <c r="E45" s="261">
        <f>SUM($D12:E12)*$D$34</f>
        <v/>
      </c>
      <c r="F45" s="261">
        <f>SUM($D12:F12)*$D$34</f>
        <v/>
      </c>
      <c r="G45" s="261">
        <f>SUM($D12:G12)*$D$34</f>
        <v/>
      </c>
      <c r="H45" s="261">
        <f>SUM($D12:H12)*$D$34</f>
        <v/>
      </c>
      <c r="I45" s="261">
        <f>SUM($D12:I12)*$D$34</f>
        <v/>
      </c>
      <c r="J45" s="249" t="n"/>
      <c r="K45" s="249" t="n"/>
    </row>
    <row r="46">
      <c r="A46" s="249" t="n"/>
      <c r="B46" s="249" t="inlineStr">
        <is>
          <t>Total acquired EBITDA</t>
        </is>
      </c>
      <c r="C46" s="249" t="n"/>
      <c r="D46" s="261">
        <f>SUM(D43:D45)</f>
        <v/>
      </c>
      <c r="E46" s="261">
        <f>SUM(E43:E45)</f>
        <v/>
      </c>
      <c r="F46" s="261">
        <f>SUM(F43:F45)</f>
        <v/>
      </c>
      <c r="G46" s="261">
        <f>SUM(G43:G45)</f>
        <v/>
      </c>
      <c r="H46" s="261">
        <f>SUM(H43:H45)</f>
        <v/>
      </c>
      <c r="I46" s="261">
        <f>SUM(I43:I45)</f>
        <v/>
      </c>
      <c r="J46" s="249" t="n"/>
      <c r="K46" s="249" t="n"/>
    </row>
    <row r="47">
      <c r="A47" s="249" t="n"/>
      <c r="B47" s="249" t="n"/>
      <c r="C47" s="249" t="n"/>
      <c r="D47" s="249" t="n"/>
      <c r="E47" s="249" t="n"/>
      <c r="F47" s="249" t="n"/>
      <c r="G47" s="249" t="n"/>
      <c r="H47" s="249" t="n"/>
      <c r="I47" s="249" t="n"/>
      <c r="J47" s="249" t="n"/>
      <c r="K47" s="249" t="n"/>
    </row>
    <row r="48">
      <c r="A48" s="249" t="n"/>
      <c r="B48" s="249" t="n"/>
      <c r="C48" s="249" t="n"/>
      <c r="D48" s="249" t="n"/>
      <c r="E48" s="249" t="n"/>
      <c r="F48" s="249" t="n"/>
      <c r="G48" s="249" t="n"/>
      <c r="H48" s="249" t="n"/>
      <c r="I48" s="249" t="n"/>
      <c r="J48" s="249" t="n"/>
      <c r="K48" s="249" t="n"/>
    </row>
    <row r="49">
      <c r="A49" s="249" t="n"/>
      <c r="B49" s="249" t="n"/>
      <c r="C49" s="249" t="n"/>
      <c r="D49" s="249" t="n"/>
      <c r="E49" s="249" t="n"/>
      <c r="F49" s="249" t="n"/>
      <c r="G49" s="249" t="n"/>
      <c r="H49" s="249" t="n"/>
      <c r="I49" s="249" t="n"/>
      <c r="J49" s="249" t="n"/>
      <c r="K49" s="249" t="n"/>
    </row>
    <row r="50">
      <c r="A50" s="249" t="n"/>
      <c r="B50" s="253" t="inlineStr">
        <is>
          <t>Acquisition cash need</t>
        </is>
      </c>
      <c r="C50" s="249" t="n"/>
      <c r="D50" s="249" t="n"/>
      <c r="E50" s="249" t="n"/>
      <c r="F50" s="249" t="n"/>
      <c r="G50" s="249" t="n"/>
      <c r="H50" s="249" t="n"/>
      <c r="I50" s="249" t="n"/>
      <c r="J50" s="249" t="n"/>
      <c r="K50" s="249" t="n"/>
    </row>
    <row r="51">
      <c r="A51" s="249" t="n"/>
      <c r="B51" s="249" t="inlineStr">
        <is>
          <t>Aquihire TEV multiple</t>
        </is>
      </c>
      <c r="C51" s="249" t="n"/>
      <c r="D51" s="264" t="n">
        <v>3</v>
      </c>
      <c r="E51" s="249" t="n"/>
      <c r="F51" s="249" t="n"/>
      <c r="G51" s="249" t="n"/>
      <c r="H51" s="249" t="n"/>
      <c r="I51" s="249" t="n"/>
      <c r="J51" s="249" t="inlineStr">
        <is>
          <t>TBD</t>
        </is>
      </c>
      <c r="K51" s="256" t="inlineStr">
        <is>
          <t>Placeholder only. Replace with broker / owner evidence.</t>
        </is>
      </c>
    </row>
    <row r="52">
      <c r="A52" s="249" t="n"/>
      <c r="B52" s="249" t="inlineStr">
        <is>
          <t>Tuck-in TEV multiple</t>
        </is>
      </c>
      <c r="C52" s="249" t="n"/>
      <c r="D52" s="264" t="n">
        <v>5</v>
      </c>
      <c r="E52" s="249" t="n"/>
      <c r="F52" s="249" t="n"/>
      <c r="G52" s="249" t="n"/>
      <c r="H52" s="249" t="n"/>
      <c r="I52" s="249" t="n"/>
      <c r="J52" s="249" t="inlineStr">
        <is>
          <t>TBD</t>
        </is>
      </c>
      <c r="K52" s="256" t="inlineStr">
        <is>
          <t>Placeholder only. Market notes suggest 7-10x tuck-ins, likely too high for G&amp;B without a wedge.</t>
        </is>
      </c>
    </row>
    <row r="53">
      <c r="A53" s="249" t="n"/>
      <c r="B53" s="249" t="inlineStr">
        <is>
          <t>Annual aquihire TEV</t>
        </is>
      </c>
      <c r="C53" s="249" t="n"/>
      <c r="D53" s="261">
        <f>SUM(D10:I10)*$D$51*$D$32</f>
        <v/>
      </c>
      <c r="E53" s="249" t="n"/>
      <c r="F53" s="249" t="n"/>
      <c r="G53" s="249" t="n"/>
      <c r="H53" s="249" t="n"/>
      <c r="I53" s="249" t="n"/>
      <c r="J53" s="249" t="inlineStr"/>
      <c r="K53" s="256" t="inlineStr"/>
    </row>
    <row r="54">
      <c r="A54" s="249" t="n"/>
      <c r="B54" s="249" t="inlineStr">
        <is>
          <t>Annual tuck-in TEV</t>
        </is>
      </c>
      <c r="C54" s="249" t="n"/>
      <c r="D54" s="261">
        <f>SUM(D11:I11)*$D$52*$D$33</f>
        <v/>
      </c>
      <c r="E54" s="249" t="n"/>
      <c r="F54" s="249" t="n"/>
      <c r="G54" s="249" t="n"/>
      <c r="H54" s="249" t="n"/>
      <c r="I54" s="249" t="n"/>
      <c r="J54" s="249" t="inlineStr"/>
      <c r="K54" s="256" t="inlineStr"/>
    </row>
    <row r="55">
      <c r="A55" s="249" t="n"/>
      <c r="B55" s="249" t="inlineStr">
        <is>
          <t>Total modeled acquisition TEV</t>
        </is>
      </c>
      <c r="C55" s="249" t="n"/>
      <c r="D55" s="261">
        <f>D53+D54</f>
        <v/>
      </c>
      <c r="E55" s="249" t="n"/>
      <c r="F55" s="249" t="n"/>
      <c r="G55" s="249" t="n"/>
      <c r="H55" s="249" t="n"/>
      <c r="I55" s="249" t="n"/>
      <c r="J55" s="249" t="inlineStr"/>
      <c r="K55" s="256" t="inlineStr">
        <is>
          <t>Use only as a directional capital need; no acquisition-by-acquisition timing yet.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3" customWidth="1" min="1" max="1"/>
    <col width="26" customWidth="1" min="2" max="2"/>
    <col width="14" customWidth="1" min="3" max="3"/>
    <col width="14" customWidth="1" min="4" max="4"/>
    <col width="14" customWidth="1" min="5" max="5"/>
    <col width="14" customWidth="1" min="6" max="6"/>
    <col width="18" customWidth="1" min="7" max="7"/>
    <col width="44" customWidth="1" min="8" max="8"/>
  </cols>
  <sheetData>
    <row r="1">
      <c r="A1" s="249" t="n"/>
      <c r="B1" s="249" t="n"/>
      <c r="C1" s="249" t="n"/>
      <c r="D1" s="249" t="n"/>
      <c r="E1" s="249" t="n"/>
      <c r="F1" s="249" t="n"/>
      <c r="G1" s="249" t="n"/>
      <c r="H1" s="249" t="n"/>
    </row>
    <row r="2">
      <c r="A2" s="249" t="n"/>
      <c r="B2" s="250" t="inlineStr">
        <is>
          <t>Seller Note / Rollover / Interest-Rate Stress Tests</t>
        </is>
      </c>
      <c r="C2" s="249" t="n"/>
      <c r="D2" s="249" t="n"/>
      <c r="E2" s="249" t="n"/>
      <c r="F2" s="249" t="n"/>
      <c r="G2" s="249" t="n"/>
      <c r="H2" s="249" t="n"/>
    </row>
    <row r="3">
      <c r="A3" s="249" t="n"/>
      <c r="B3" s="249" t="inlineStr">
        <is>
          <t>All tests use the base-case adjusted EBITDA path and change structure levers only.</t>
        </is>
      </c>
      <c r="C3" s="249" t="n"/>
      <c r="D3" s="249" t="n"/>
      <c r="E3" s="249" t="n"/>
      <c r="F3" s="249" t="n"/>
      <c r="G3" s="249" t="n"/>
      <c r="H3" s="249" t="n"/>
    </row>
    <row r="4">
      <c r="A4" s="249" t="n"/>
      <c r="B4" s="249" t="n"/>
      <c r="C4" s="249" t="n"/>
      <c r="D4" s="249" t="n"/>
      <c r="E4" s="249" t="n"/>
      <c r="F4" s="249" t="n"/>
      <c r="G4" s="249" t="n"/>
      <c r="H4" s="249" t="n"/>
    </row>
    <row r="5">
      <c r="A5" s="249" t="n"/>
      <c r="B5" s="249" t="n"/>
      <c r="C5" s="249" t="n"/>
      <c r="D5" s="249" t="n"/>
      <c r="E5" s="249" t="n"/>
      <c r="F5" s="249" t="n"/>
      <c r="G5" s="249" t="n"/>
      <c r="H5" s="249" t="n"/>
    </row>
    <row r="6">
      <c r="A6" s="249" t="n"/>
      <c r="B6" s="252" t="inlineStr">
        <is>
          <t>Scenario</t>
        </is>
      </c>
      <c r="C6" s="252" t="inlineStr">
        <is>
          <t>Seller note %</t>
        </is>
      </c>
      <c r="D6" s="252" t="inlineStr">
        <is>
          <t>Rate</t>
        </is>
      </c>
      <c r="E6" s="252" t="inlineStr">
        <is>
          <t>Tenor</t>
        </is>
      </c>
      <c r="F6" s="252" t="inlineStr">
        <is>
          <t>Rollover %</t>
        </is>
      </c>
      <c r="G6" s="252" t="inlineStr">
        <is>
          <t>Min DSCR Y1-Y5</t>
        </is>
      </c>
      <c r="H6" s="252" t="inlineStr">
        <is>
          <t>Verdict</t>
        </is>
      </c>
    </row>
    <row r="7">
      <c r="A7" s="249" t="n"/>
      <c r="B7" s="249" t="inlineStr">
        <is>
          <t>Low seller note / low rate</t>
        </is>
      </c>
      <c r="C7" s="257" t="n">
        <v>0.2</v>
      </c>
      <c r="D7" s="257" t="n">
        <v>0.06</v>
      </c>
      <c r="E7" s="265" t="n">
        <v>7</v>
      </c>
      <c r="F7" s="257" t="n">
        <v>0.1</v>
      </c>
      <c r="G7" s="266">
        <f>MIN('Pest Base Case'!E64/(('Pest Base Case'!$D$18*C7*D7)+('Pest Base Case'!$D$18*C7/E7)),'Pest Base Case'!F64/(('Pest Base Case'!$D$18*C7*D7)+('Pest Base Case'!$D$18*C7/E7)),'Pest Base Case'!G64/(('Pest Base Case'!$D$18*C7*D7)+('Pest Base Case'!$D$18*C7/E7)),'Pest Base Case'!H64/(('Pest Base Case'!$D$18*C7*D7)+('Pest Base Case'!$D$18*C7/E7)),'Pest Base Case'!I64/(('Pest Base Case'!$D$18*C7*D7)+('Pest Base Case'!$D$18*C7/E7)))</f>
        <v/>
      </c>
      <c r="H7" s="259">
        <f>IF(G7&lt;1,"Breaks cash flow",IF(G7&lt;1.25,"Marginal cushion","Supported in first pass"))</f>
        <v/>
      </c>
    </row>
    <row r="8">
      <c r="A8" s="249" t="n"/>
      <c r="B8" s="249" t="inlineStr">
        <is>
          <t>Base case</t>
        </is>
      </c>
      <c r="C8" s="257" t="n">
        <v>0.3</v>
      </c>
      <c r="D8" s="257" t="n">
        <v>0.07000000000000001</v>
      </c>
      <c r="E8" s="265" t="n">
        <v>6</v>
      </c>
      <c r="F8" s="257" t="n">
        <v>0.125</v>
      </c>
      <c r="G8" s="266">
        <f>MIN('Pest Base Case'!E64/(('Pest Base Case'!$D$18*C8*D8)+('Pest Base Case'!$D$18*C8/E8)),'Pest Base Case'!F64/(('Pest Base Case'!$D$18*C8*D8)+('Pest Base Case'!$D$18*C8/E8)),'Pest Base Case'!G64/(('Pest Base Case'!$D$18*C8*D8)+('Pest Base Case'!$D$18*C8/E8)),'Pest Base Case'!H64/(('Pest Base Case'!$D$18*C8*D8)+('Pest Base Case'!$D$18*C8/E8)),'Pest Base Case'!I64/(('Pest Base Case'!$D$18*C8*D8)+('Pest Base Case'!$D$18*C8/E8)))</f>
        <v/>
      </c>
      <c r="H8" s="259">
        <f>IF(G8&lt;1,"Breaks cash flow",IF(G8&lt;1.25,"Marginal cushion","Supported in first pass"))</f>
        <v/>
      </c>
    </row>
    <row r="9">
      <c r="A9" s="249" t="n"/>
      <c r="B9" s="249" t="inlineStr">
        <is>
          <t>High seller note / high rate</t>
        </is>
      </c>
      <c r="C9" s="257" t="n">
        <v>0.4</v>
      </c>
      <c r="D9" s="257" t="n">
        <v>0.08</v>
      </c>
      <c r="E9" s="265" t="n">
        <v>5</v>
      </c>
      <c r="F9" s="257" t="n">
        <v>0.15</v>
      </c>
      <c r="G9" s="266">
        <f>MIN('Pest Base Case'!E64/(('Pest Base Case'!$D$18*C9*D9)+('Pest Base Case'!$D$18*C9/E9)),'Pest Base Case'!F64/(('Pest Base Case'!$D$18*C9*D9)+('Pest Base Case'!$D$18*C9/E9)),'Pest Base Case'!G64/(('Pest Base Case'!$D$18*C9*D9)+('Pest Base Case'!$D$18*C9/E9)),'Pest Base Case'!H64/(('Pest Base Case'!$D$18*C9*D9)+('Pest Base Case'!$D$18*C9/E9)),'Pest Base Case'!I64/(('Pest Base Case'!$D$18*C9*D9)+('Pest Base Case'!$D$18*C9/E9)))</f>
        <v/>
      </c>
      <c r="H9" s="259">
        <f>IF(G9&lt;1,"Breaks cash flow",IF(G9&lt;1.25,"Marginal cushion","Supported in first pass"))</f>
        <v/>
      </c>
    </row>
    <row r="10">
      <c r="A10" s="249" t="n"/>
      <c r="B10" s="249" t="inlineStr">
        <is>
          <t>No rollover / more cash need</t>
        </is>
      </c>
      <c r="C10" s="257" t="n">
        <v>0.3</v>
      </c>
      <c r="D10" s="257" t="n">
        <v>0.07000000000000001</v>
      </c>
      <c r="E10" s="265" t="n">
        <v>6</v>
      </c>
      <c r="F10" s="257" t="n">
        <v>0</v>
      </c>
      <c r="G10" s="266">
        <f>MIN('Pest Base Case'!E64/(('Pest Base Case'!$D$18*C10*D10)+('Pest Base Case'!$D$18*C10/E10)),'Pest Base Case'!F64/(('Pest Base Case'!$D$18*C10*D10)+('Pest Base Case'!$D$18*C10/E10)),'Pest Base Case'!G64/(('Pest Base Case'!$D$18*C10*D10)+('Pest Base Case'!$D$18*C10/E10)),'Pest Base Case'!H64/(('Pest Base Case'!$D$18*C10*D10)+('Pest Base Case'!$D$18*C10/E10)),'Pest Base Case'!I64/(('Pest Base Case'!$D$18*C10*D10)+('Pest Base Case'!$D$18*C10/E10)))</f>
        <v/>
      </c>
      <c r="H10" s="259">
        <f>IF(G10&lt;1,"Breaks cash flow",IF(G10&lt;1.25,"Marginal cushion","Supported in first pass"))</f>
        <v/>
      </c>
    </row>
    <row r="11">
      <c r="A11" s="249" t="n"/>
      <c r="B11" s="249" t="inlineStr">
        <is>
          <t>Max rollover / max seller carry</t>
        </is>
      </c>
      <c r="C11" s="257" t="n">
        <v>0.4</v>
      </c>
      <c r="D11" s="257" t="n">
        <v>0.08</v>
      </c>
      <c r="E11" s="265" t="n">
        <v>7</v>
      </c>
      <c r="F11" s="257" t="n">
        <v>0.15</v>
      </c>
      <c r="G11" s="266">
        <f>MIN('Pest Base Case'!E64/(('Pest Base Case'!$D$18*C11*D11)+('Pest Base Case'!$D$18*C11/E11)),'Pest Base Case'!F64/(('Pest Base Case'!$D$18*C11*D11)+('Pest Base Case'!$D$18*C11/E11)),'Pest Base Case'!G64/(('Pest Base Case'!$D$18*C11*D11)+('Pest Base Case'!$D$18*C11/E11)),'Pest Base Case'!H64/(('Pest Base Case'!$D$18*C11*D11)+('Pest Base Case'!$D$18*C11/E11)),'Pest Base Case'!I64/(('Pest Base Case'!$D$18*C11*D11)+('Pest Base Case'!$D$18*C11/E11)))</f>
        <v/>
      </c>
      <c r="H11" s="259">
        <f>IF(G11&lt;1,"Breaks cash flow",IF(G11&lt;1.25,"Marginal cushion","Supported in first pass"))</f>
        <v/>
      </c>
    </row>
    <row r="12">
      <c r="A12" s="249" t="n"/>
      <c r="B12" s="249" t="inlineStr">
        <is>
          <t>Interest shock</t>
        </is>
      </c>
      <c r="C12" s="257" t="n">
        <v>0.3</v>
      </c>
      <c r="D12" s="257" t="n">
        <v>0.09</v>
      </c>
      <c r="E12" s="265" t="n">
        <v>6</v>
      </c>
      <c r="F12" s="257" t="n">
        <v>0.125</v>
      </c>
      <c r="G12" s="266">
        <f>MIN('Pest Base Case'!E64/(('Pest Base Case'!$D$18*C12*D12)+('Pest Base Case'!$D$18*C12/E12)),'Pest Base Case'!F64/(('Pest Base Case'!$D$18*C12*D12)+('Pest Base Case'!$D$18*C12/E12)),'Pest Base Case'!G64/(('Pest Base Case'!$D$18*C12*D12)+('Pest Base Case'!$D$18*C12/E12)),'Pest Base Case'!H64/(('Pest Base Case'!$D$18*C12*D12)+('Pest Base Case'!$D$18*C12/E12)),'Pest Base Case'!I64/(('Pest Base Case'!$D$18*C12*D12)+('Pest Base Case'!$D$18*C12/E12)))</f>
        <v/>
      </c>
      <c r="H12" s="259">
        <f>IF(G12&lt;1,"Breaks cash flow",IF(G12&lt;1.25,"Marginal cushion","Supported in first pass"))</f>
        <v/>
      </c>
    </row>
    <row r="13">
      <c r="A13" s="249" t="n"/>
      <c r="B13" s="249" t="n"/>
      <c r="C13" s="249" t="n"/>
      <c r="D13" s="249" t="n"/>
      <c r="E13" s="249" t="n"/>
      <c r="F13" s="249" t="n"/>
      <c r="G13" s="249" t="n"/>
      <c r="H13" s="249" t="n"/>
    </row>
    <row r="14">
      <c r="A14" s="249" t="n"/>
      <c r="B14" s="249" t="n"/>
      <c r="C14" s="249" t="n"/>
      <c r="D14" s="249" t="n"/>
      <c r="E14" s="249" t="n"/>
      <c r="F14" s="249" t="n"/>
      <c r="G14" s="249" t="n"/>
      <c r="H14" s="249" t="n"/>
    </row>
    <row r="15">
      <c r="A15" s="249" t="n"/>
      <c r="B15" s="249" t="n"/>
      <c r="C15" s="249" t="n"/>
      <c r="D15" s="249" t="n"/>
      <c r="E15" s="249" t="n"/>
      <c r="F15" s="249" t="n"/>
      <c r="G15" s="249" t="n"/>
      <c r="H15" s="249" t="n"/>
    </row>
    <row r="16">
      <c r="A16" s="249" t="n"/>
      <c r="B16" s="253" t="inlineStr">
        <is>
          <t>Cash-flow sensitivity</t>
        </is>
      </c>
      <c r="C16" s="249" t="n"/>
      <c r="D16" s="249" t="n"/>
      <c r="E16" s="249" t="n"/>
      <c r="F16" s="249" t="n"/>
      <c r="G16" s="249" t="n"/>
      <c r="H16" s="249" t="n"/>
    </row>
    <row r="17">
      <c r="A17" s="249" t="n"/>
      <c r="B17" s="249" t="n"/>
      <c r="C17" s="249" t="n"/>
      <c r="D17" s="249" t="n"/>
      <c r="E17" s="249" t="n"/>
      <c r="F17" s="249" t="n"/>
      <c r="G17" s="249" t="n"/>
      <c r="H17" s="249" t="n"/>
    </row>
    <row r="18">
      <c r="A18" s="249" t="n"/>
      <c r="B18" s="252" t="inlineStr">
        <is>
          <t>EBITDA haircut</t>
        </is>
      </c>
      <c r="C18" s="252" t="inlineStr">
        <is>
          <t>Min DSCR base structure</t>
        </is>
      </c>
      <c r="D18" s="252" t="inlineStr">
        <is>
          <t>Cash after debt Y1</t>
        </is>
      </c>
      <c r="E18" s="252" t="inlineStr">
        <is>
          <t>Cash after debt Y5</t>
        </is>
      </c>
      <c r="F18" s="252" t="inlineStr">
        <is>
          <t>Verdict</t>
        </is>
      </c>
      <c r="G18" s="249" t="n"/>
      <c r="H18" s="249" t="n"/>
    </row>
    <row r="19">
      <c r="A19" s="249" t="n"/>
      <c r="B19" s="257" t="n">
        <v>0</v>
      </c>
      <c r="C19" s="266">
        <f>MIN(('Pest Base Case'!E64*(1-B19))/(('Pest Base Case'!$D$36*'Pest Base Case'!$D$23)+('Pest Base Case'!$D$36/'Pest Base Case'!$D$24)),('Pest Base Case'!F64*(1-B19))/(('Pest Base Case'!$D$36*'Pest Base Case'!$D$23)+('Pest Base Case'!$D$36/'Pest Base Case'!$D$24)),('Pest Base Case'!G64*(1-B19))/(('Pest Base Case'!$D$36*'Pest Base Case'!$D$23)+('Pest Base Case'!$D$36/'Pest Base Case'!$D$24)),('Pest Base Case'!H64*(1-B19))/(('Pest Base Case'!$D$36*'Pest Base Case'!$D$23)+('Pest Base Case'!$D$36/'Pest Base Case'!$D$24)),('Pest Base Case'!I64*(1-B19))/(('Pest Base Case'!$D$36*'Pest Base Case'!$D$23)+('Pest Base Case'!$D$36/'Pest Base Case'!$D$24)))</f>
        <v/>
      </c>
      <c r="D19" s="261">
        <f>'Pest Base Case'!E70*(1-B19)</f>
        <v/>
      </c>
      <c r="E19" s="261">
        <f>'Pest Base Case'!I70*(1-B19)</f>
        <v/>
      </c>
      <c r="F19" s="259">
        <f>IF(C19&lt;1,"Breaks",IF(C19&lt;1.25,"Tight","OK"))</f>
        <v/>
      </c>
      <c r="G19" s="249" t="n"/>
      <c r="H19" s="249" t="n"/>
    </row>
    <row r="20">
      <c r="A20" s="249" t="n"/>
      <c r="B20" s="257" t="n">
        <v>0.1</v>
      </c>
      <c r="C20" s="266">
        <f>MIN(('Pest Base Case'!E64*(1-B20))/(('Pest Base Case'!$D$36*'Pest Base Case'!$D$23)+('Pest Base Case'!$D$36/'Pest Base Case'!$D$24)),('Pest Base Case'!F64*(1-B20))/(('Pest Base Case'!$D$36*'Pest Base Case'!$D$23)+('Pest Base Case'!$D$36/'Pest Base Case'!$D$24)),('Pest Base Case'!G64*(1-B20))/(('Pest Base Case'!$D$36*'Pest Base Case'!$D$23)+('Pest Base Case'!$D$36/'Pest Base Case'!$D$24)),('Pest Base Case'!H64*(1-B20))/(('Pest Base Case'!$D$36*'Pest Base Case'!$D$23)+('Pest Base Case'!$D$36/'Pest Base Case'!$D$24)),('Pest Base Case'!I64*(1-B20))/(('Pest Base Case'!$D$36*'Pest Base Case'!$D$23)+('Pest Base Case'!$D$36/'Pest Base Case'!$D$24)))</f>
        <v/>
      </c>
      <c r="D20" s="261">
        <f>'Pest Base Case'!E70*(1-B20)</f>
        <v/>
      </c>
      <c r="E20" s="261">
        <f>'Pest Base Case'!I70*(1-B20)</f>
        <v/>
      </c>
      <c r="F20" s="259">
        <f>IF(C20&lt;1,"Breaks",IF(C20&lt;1.25,"Tight","OK"))</f>
        <v/>
      </c>
      <c r="G20" s="249" t="n"/>
      <c r="H20" s="249" t="n"/>
    </row>
    <row r="21">
      <c r="A21" s="249" t="n"/>
      <c r="B21" s="257" t="n">
        <v>0.2</v>
      </c>
      <c r="C21" s="266">
        <f>MIN(('Pest Base Case'!E64*(1-B21))/(('Pest Base Case'!$D$36*'Pest Base Case'!$D$23)+('Pest Base Case'!$D$36/'Pest Base Case'!$D$24)),('Pest Base Case'!F64*(1-B21))/(('Pest Base Case'!$D$36*'Pest Base Case'!$D$23)+('Pest Base Case'!$D$36/'Pest Base Case'!$D$24)),('Pest Base Case'!G64*(1-B21))/(('Pest Base Case'!$D$36*'Pest Base Case'!$D$23)+('Pest Base Case'!$D$36/'Pest Base Case'!$D$24)),('Pest Base Case'!H64*(1-B21))/(('Pest Base Case'!$D$36*'Pest Base Case'!$D$23)+('Pest Base Case'!$D$36/'Pest Base Case'!$D$24)),('Pest Base Case'!I64*(1-B21))/(('Pest Base Case'!$D$36*'Pest Base Case'!$D$23)+('Pest Base Case'!$D$36/'Pest Base Case'!$D$24)))</f>
        <v/>
      </c>
      <c r="D21" s="261">
        <f>'Pest Base Case'!E70*(1-B21)</f>
        <v/>
      </c>
      <c r="E21" s="261">
        <f>'Pest Base Case'!I70*(1-B21)</f>
        <v/>
      </c>
      <c r="F21" s="259">
        <f>IF(C21&lt;1,"Breaks",IF(C21&lt;1.25,"Tight","OK"))</f>
        <v/>
      </c>
      <c r="G21" s="249" t="n"/>
      <c r="H21" s="249" t="n"/>
    </row>
    <row r="22">
      <c r="A22" s="249" t="n"/>
      <c r="B22" s="257" t="n">
        <v>0.3</v>
      </c>
      <c r="C22" s="266">
        <f>MIN(('Pest Base Case'!E64*(1-B22))/(('Pest Base Case'!$D$36*'Pest Base Case'!$D$23)+('Pest Base Case'!$D$36/'Pest Base Case'!$D$24)),('Pest Base Case'!F64*(1-B22))/(('Pest Base Case'!$D$36*'Pest Base Case'!$D$23)+('Pest Base Case'!$D$36/'Pest Base Case'!$D$24)),('Pest Base Case'!G64*(1-B22))/(('Pest Base Case'!$D$36*'Pest Base Case'!$D$23)+('Pest Base Case'!$D$36/'Pest Base Case'!$D$24)),('Pest Base Case'!H64*(1-B22))/(('Pest Base Case'!$D$36*'Pest Base Case'!$D$23)+('Pest Base Case'!$D$36/'Pest Base Case'!$D$24)),('Pest Base Case'!I64*(1-B22))/(('Pest Base Case'!$D$36*'Pest Base Case'!$D$23)+('Pest Base Case'!$D$36/'Pest Base Case'!$D$24)))</f>
        <v/>
      </c>
      <c r="D22" s="261">
        <f>'Pest Base Case'!E70*(1-B22)</f>
        <v/>
      </c>
      <c r="E22" s="261">
        <f>'Pest Base Case'!I70*(1-B22)</f>
        <v/>
      </c>
      <c r="F22" s="259">
        <f>IF(C22&lt;1,"Breaks",IF(C22&lt;1.25,"Tight","OK"))</f>
        <v/>
      </c>
      <c r="G22" s="249" t="n"/>
      <c r="H22" s="249"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3" customWidth="1" min="1" max="1"/>
    <col width="20" customWidth="1" min="2" max="2"/>
    <col width="54" customWidth="1" min="3" max="3"/>
    <col width="52" customWidth="1" min="4" max="4"/>
    <col width="22" customWidth="1" min="5" max="5"/>
  </cols>
  <sheetData>
    <row r="1">
      <c r="A1" s="249" t="n"/>
      <c r="B1" s="249" t="n"/>
      <c r="C1" s="249" t="n"/>
      <c r="D1" s="249" t="n"/>
      <c r="E1" s="249" t="n"/>
    </row>
    <row r="2">
      <c r="A2" s="249" t="n"/>
      <c r="B2" s="250" t="inlineStr">
        <is>
          <t>Investor-Facing Question Set: Jeff / Anacapa</t>
        </is>
      </c>
      <c r="C2" s="249" t="n"/>
      <c r="D2" s="249" t="n"/>
      <c r="E2" s="249" t="n"/>
    </row>
    <row r="3">
      <c r="A3" s="249" t="n"/>
      <c r="B3" s="249" t="n"/>
      <c r="C3" s="249" t="n"/>
      <c r="D3" s="249" t="n"/>
      <c r="E3" s="249" t="n"/>
    </row>
    <row r="4">
      <c r="A4" s="249" t="n"/>
      <c r="B4" s="249" t="n"/>
      <c r="C4" s="249" t="n"/>
      <c r="D4" s="249" t="n"/>
      <c r="E4" s="249" t="n"/>
    </row>
    <row r="5">
      <c r="A5" s="249" t="n"/>
      <c r="B5" s="252" t="inlineStr">
        <is>
          <t>Topic</t>
        </is>
      </c>
      <c r="C5" s="252" t="inlineStr">
        <is>
          <t>Question</t>
        </is>
      </c>
      <c r="D5" s="252" t="inlineStr">
        <is>
          <t>Why it matters</t>
        </is>
      </c>
      <c r="E5" s="252" t="inlineStr">
        <is>
          <t>Owner / next use</t>
        </is>
      </c>
    </row>
    <row r="6">
      <c r="A6" s="249" t="n"/>
      <c r="B6" s="256" t="inlineStr">
        <is>
          <t>Cap table</t>
        </is>
      </c>
      <c r="C6" s="256" t="inlineStr">
        <is>
          <t>If the first pest platform is only ~$500K EBITDA, what cap-table shape would Anacapa support: same committed investor base, smaller first-close syndicate, or reserved follow-on capital?</t>
        </is>
      </c>
      <c r="D6" s="256" t="inlineStr">
        <is>
          <t>Melissa says committed capital should bridge the first close to the flywheel; Kay needs investor appetite before overbuilding the strategy.</t>
        </is>
      </c>
      <c r="E6" s="256" t="inlineStr">
        <is>
          <t>Jeff / Anacapa</t>
        </is>
      </c>
    </row>
    <row r="7">
      <c r="A7" s="249" t="n"/>
      <c r="B7" s="256" t="inlineStr">
        <is>
          <t>Seller note</t>
        </is>
      </c>
      <c r="C7" s="256" t="inlineStr">
        <is>
          <t>At what seller-note quantum does Anacapa become uncomfortable for a small, owner-operated pest platform?</t>
        </is>
      </c>
      <c r="D7" s="256" t="inlineStr">
        <is>
          <t>Seller note is the primary lever to make the seller's proceeds work without overloading cash flow.</t>
        </is>
      </c>
      <c r="E7" s="256" t="inlineStr">
        <is>
          <t>Jeff / Anacapa</t>
        </is>
      </c>
    </row>
    <row r="8">
      <c r="A8" s="249" t="n"/>
      <c r="B8" s="256" t="inlineStr">
        <is>
          <t>Rollover</t>
        </is>
      </c>
      <c r="C8" s="256" t="inlineStr">
        <is>
          <t>Is 10-15% seller rollover acceptable in a search-style cap table if the seller has no governance control?</t>
        </is>
      </c>
      <c r="D8" s="256" t="inlineStr">
        <is>
          <t>Jay suggested 10-15% max; Melissa sees low governance risk, but investor support matters.</t>
        </is>
      </c>
      <c r="E8" s="256" t="inlineStr">
        <is>
          <t>Jeff / Anacapa</t>
        </is>
      </c>
    </row>
    <row r="9">
      <c r="A9" s="249" t="n"/>
      <c r="B9" s="256" t="inlineStr">
        <is>
          <t>Interest rate</t>
        </is>
      </c>
      <c r="C9" s="256" t="inlineStr">
        <is>
          <t>Would Anacapa underwrite a 6-8% seller note today, and what cushion would they require if rates move up?</t>
        </is>
      </c>
      <c r="D9" s="256" t="inlineStr">
        <is>
          <t>Debt-service pressure is the gating issue for a small platform.</t>
        </is>
      </c>
      <c r="E9" s="256" t="inlineStr">
        <is>
          <t>Jeff / Anacapa</t>
        </is>
      </c>
    </row>
    <row r="10">
      <c r="A10" s="249" t="n"/>
      <c r="B10" s="256" t="inlineStr">
        <is>
          <t>Bank debt</t>
        </is>
      </c>
      <c r="C10" s="256" t="inlineStr">
        <is>
          <t>Does the ~$2M EBITDA / ~$5M facility threshold match Anacapa's current lender read for pest services?</t>
        </is>
      </c>
      <c r="D10" s="256" t="inlineStr">
        <is>
          <t>Model assumes no bank debt at close and future debt only after scale.</t>
        </is>
      </c>
      <c r="E10" s="256" t="inlineStr">
        <is>
          <t>Jeff / Anacapa</t>
        </is>
      </c>
    </row>
    <row r="11">
      <c r="A11" s="249" t="n"/>
      <c r="B11" s="256" t="inlineStr">
        <is>
          <t>Buy-box fit</t>
        </is>
      </c>
      <c r="C11" s="256" t="inlineStr">
        <is>
          <t>Is an undersized but high-margin $500K EBITDA pest platform acceptable if the multi-acquisition path is credible?</t>
        </is>
      </c>
      <c r="D11" s="256" t="inlineStr">
        <is>
          <t>CIO issue: initial asset is below preferred scale, but could be a wedge into a dense market.</t>
        </is>
      </c>
      <c r="E11" s="256" t="inlineStr">
        <is>
          <t>Jeff / Anacapa</t>
        </is>
      </c>
    </row>
    <row r="12">
      <c r="A12" s="249" t="n"/>
      <c r="B12" s="256" t="inlineStr">
        <is>
          <t>Wedge</t>
        </is>
      </c>
      <c r="C12" s="256" t="inlineStr">
        <is>
          <t>Does the luxury retail / hospitality discretion wedge make pest more underwritable, or is it too narrow for an investor-backed strategy?</t>
        </is>
      </c>
      <c r="D12" s="256" t="inlineStr">
        <is>
          <t>Jay's warning: broad pest is too competitive; specialty is the opening.</t>
        </is>
      </c>
      <c r="E12" s="256" t="inlineStr">
        <is>
          <t>Jeff / Anacapa</t>
        </is>
      </c>
    </row>
    <row r="13">
      <c r="A13" s="249" t="n"/>
      <c r="B13" s="256" t="inlineStr">
        <is>
          <t>Diligence</t>
        </is>
      </c>
      <c r="C13" s="256" t="inlineStr">
        <is>
          <t>What proof would make the acquisition path real: client count, route density, revenue per technician, retention, pricing uplift, or signed seller interest?</t>
        </is>
      </c>
      <c r="D13" s="256" t="inlineStr">
        <is>
          <t>Avoids modeling sophistication without diligence-grade inputs.</t>
        </is>
      </c>
      <c r="E13" s="256" t="inlineStr">
        <is>
          <t>Jeff / Anacapa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8"/>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3" customWidth="1" min="1" max="1"/>
    <col width="24" customWidth="1" min="2" max="2"/>
    <col width="24" customWidth="1" min="3" max="3"/>
    <col width="72" customWidth="1" min="4" max="4"/>
    <col width="36" customWidth="1" min="5" max="5"/>
  </cols>
  <sheetData>
    <row r="1">
      <c r="A1" s="249" t="n"/>
      <c r="B1" s="249" t="n"/>
      <c r="C1" s="249" t="n"/>
      <c r="D1" s="249" t="n"/>
      <c r="E1" s="249" t="n"/>
    </row>
    <row r="2">
      <c r="A2" s="249" t="n"/>
      <c r="B2" s="250" t="inlineStr">
        <is>
          <t>Source Notes / Assumption Register</t>
        </is>
      </c>
      <c r="C2" s="249" t="n"/>
      <c r="D2" s="249" t="n"/>
      <c r="E2" s="249" t="n"/>
    </row>
    <row r="3">
      <c r="A3" s="249" t="n"/>
      <c r="B3" s="249" t="n"/>
      <c r="C3" s="249" t="n"/>
      <c r="D3" s="249" t="n"/>
      <c r="E3" s="249" t="n"/>
    </row>
    <row r="4">
      <c r="A4" s="249" t="n"/>
      <c r="B4" s="249" t="n"/>
      <c r="C4" s="249" t="n"/>
      <c r="D4" s="249" t="n"/>
      <c r="E4" s="249" t="n"/>
    </row>
    <row r="5">
      <c r="A5" s="249" t="n"/>
      <c r="B5" s="252" t="inlineStr">
        <is>
          <t>Source</t>
        </is>
      </c>
      <c r="C5" s="252" t="inlineStr">
        <is>
          <t>Model use</t>
        </is>
      </c>
      <c r="D5" s="252" t="inlineStr">
        <is>
          <t>Fact / guidance used</t>
        </is>
      </c>
      <c r="E5" s="252" t="inlineStr">
        <is>
          <t>Status</t>
        </is>
      </c>
    </row>
    <row r="6">
      <c r="A6" s="249" t="n"/>
      <c r="B6" s="256" t="inlineStr">
        <is>
          <t>Melissa Rosenblatt call 2026-06-17</t>
        </is>
      </c>
      <c r="C6" s="256" t="inlineStr">
        <is>
          <t>Core model architecture</t>
        </is>
      </c>
      <c r="D6" s="256" t="inlineStr">
        <is>
          <t>Core business: $1.5M revenue, $500K EBITDA, 40% labor/COGS, no office manager, answering service. Build core IS, corporate cost section, M&amp;A schedule, combined IS.</t>
        </is>
      </c>
      <c r="E6" s="256" t="inlineStr">
        <is>
          <t>Used</t>
        </is>
      </c>
    </row>
    <row r="7">
      <c r="A7" s="249" t="n"/>
      <c r="B7" s="256" t="inlineStr">
        <is>
          <t>Melissa analysis Google Doc 2026-06-17</t>
        </is>
      </c>
      <c r="C7" s="256" t="inlineStr">
        <is>
          <t>Operating frame</t>
        </is>
      </c>
      <c r="D7" s="256" t="inlineStr">
        <is>
          <t>Full analysis reinforced aquihire over de novo, holdco vs branded roll-up as open, and the need for one visible model plus a decision memo.</t>
        </is>
      </c>
      <c r="E7" s="256" t="inlineStr">
        <is>
          <t>Used</t>
        </is>
      </c>
    </row>
    <row r="8">
      <c r="A8" s="249" t="n"/>
      <c r="B8" s="256" t="inlineStr">
        <is>
          <t>Melissa transcript Google Doc 2026-06-17</t>
        </is>
      </c>
      <c r="C8" s="256" t="inlineStr">
        <is>
          <t>Transcript check</t>
        </is>
      </c>
      <c r="D8" s="256" t="inlineStr">
        <is>
          <t>gog docs cat returned only: Granola transcript unavailable in response. No transcript-only facts were used.</t>
        </is>
      </c>
      <c r="E8" s="256" t="inlineStr">
        <is>
          <t>Blocked / explicit limitation</t>
        </is>
      </c>
    </row>
    <row r="9">
      <c r="A9" s="249" t="n"/>
      <c r="B9" s="256" t="inlineStr">
        <is>
          <t>Melissa Rosenblatt call 2026-06-17</t>
        </is>
      </c>
      <c r="C9" s="256" t="inlineStr">
        <is>
          <t>Capital structure</t>
        </is>
      </c>
      <c r="D9" s="256" t="inlineStr">
        <is>
          <t>First acquisition likely equity + seller note; no bank debt at this size. Bank debt threshold ~$2M EBITDA, facility ~$5M. Seller note 5-7 years, 6-8% interest.</t>
        </is>
      </c>
      <c r="E9" s="256" t="inlineStr">
        <is>
          <t>Used</t>
        </is>
      </c>
    </row>
    <row r="10">
      <c r="A10" s="249" t="n"/>
      <c r="B10" s="256" t="inlineStr">
        <is>
          <t>Melissa Rosenblatt / Jay Davis 2026-06-17</t>
        </is>
      </c>
      <c r="C10" s="256" t="inlineStr">
        <is>
          <t>Rollover</t>
        </is>
      </c>
      <c r="D10" s="256" t="inlineStr">
        <is>
          <t>Jay suggested 10-15% max; Melissa confirmed minority stake carries no real governance risk.</t>
        </is>
      </c>
      <c r="E10" s="256" t="inlineStr">
        <is>
          <t>Used</t>
        </is>
      </c>
    </row>
    <row r="11">
      <c r="A11" s="249" t="n"/>
      <c r="B11" s="256" t="inlineStr">
        <is>
          <t>Guillermo Lavergne brainstorm 2026-06-17</t>
        </is>
      </c>
      <c r="C11" s="256" t="inlineStr">
        <is>
          <t>Target diligence</t>
        </is>
      </c>
      <c r="D11" s="256" t="inlineStr">
        <is>
          <t>NJ/NYC commercial pest company: ~$1.5M revenue, ~$500K EBITDA, 6-person team, 98% retention, Cartier/Chelsea Market/Google proof points.</t>
        </is>
      </c>
      <c r="E11" s="256" t="inlineStr">
        <is>
          <t>Used</t>
        </is>
      </c>
    </row>
    <row r="12">
      <c r="A12" s="249" t="n"/>
      <c r="B12" s="256" t="inlineStr">
        <is>
          <t>Carlos check-in 2026-06-17</t>
        </is>
      </c>
      <c r="C12" s="256" t="inlineStr">
        <is>
          <t>Thesis support</t>
        </is>
      </c>
      <c r="D12" s="256" t="inlineStr">
        <is>
          <t>Carlos validated small NJ operator / NYC thesis; holding-company structure remains live.</t>
        </is>
      </c>
      <c r="E12" s="256" t="inlineStr">
        <is>
          <t>Used</t>
        </is>
      </c>
    </row>
    <row r="13">
      <c r="A13" s="249" t="n"/>
      <c r="B13" s="256" t="inlineStr">
        <is>
          <t>WSN pest calibration 2026-06-17</t>
        </is>
      </c>
      <c r="C13" s="256" t="inlineStr">
        <is>
          <t>Diligence gate</t>
        </is>
      </c>
      <c r="D13" s="256" t="inlineStr">
        <is>
          <t>Cash-flow quality and owner draw need verification before more time is spent.</t>
        </is>
      </c>
      <c r="E13" s="256" t="inlineStr">
        <is>
          <t>Used as missing-input flag</t>
        </is>
      </c>
    </row>
    <row r="14">
      <c r="A14" s="249" t="n"/>
      <c r="B14" s="256" t="inlineStr">
        <is>
          <t>Jay Davis 2026-06-09</t>
        </is>
      </c>
      <c r="C14" s="256" t="inlineStr">
        <is>
          <t>Market structure</t>
        </is>
      </c>
      <c r="D14" s="256" t="inlineStr">
        <is>
          <t>Broad pest is crowded/liquid; specialty/premium wedge is the opening if growth is real.</t>
        </is>
      </c>
      <c r="E14" s="256" t="inlineStr">
        <is>
          <t>Used</t>
        </is>
      </c>
    </row>
    <row r="15">
      <c r="A15" s="249" t="n"/>
      <c r="B15" s="256" t="inlineStr">
        <is>
          <t>Premium Pest Scorecard Apr 2026</t>
        </is>
      </c>
      <c r="C15" s="256" t="inlineStr">
        <is>
          <t>Industry context</t>
        </is>
      </c>
      <c r="D15" s="256" t="inlineStr">
        <is>
          <t>19,000+ firms, strong fragmentation, 25-35% EBITDA margins for well-run operators, asset-light service model.</t>
        </is>
      </c>
      <c r="E15" s="256" t="inlineStr">
        <is>
          <t>Used as context, not hardcoded forecast</t>
        </is>
      </c>
    </row>
    <row r="16">
      <c r="A16" s="249" t="n"/>
      <c r="B16" s="256" t="inlineStr">
        <is>
          <t>Niche intelligence 2026-05-26</t>
        </is>
      </c>
      <c r="C16" s="256" t="inlineStr">
        <is>
          <t>Market multiple context</t>
        </is>
      </c>
      <c r="D16" s="256" t="inlineStr">
        <is>
          <t>PE consolidation deepening; 10-15x platform / 7-10x tuck-in market notes.</t>
        </is>
      </c>
      <c r="E16" s="256" t="inlineStr">
        <is>
          <t>Flagged: not used as base valuation because it may not fit G&amp;B's small target</t>
        </is>
      </c>
    </row>
    <row r="17">
      <c r="A17" s="249" t="n"/>
      <c r="B17" s="256" t="inlineStr">
        <is>
          <t>Richard / Stony Hill 2026-06-17</t>
        </is>
      </c>
      <c r="C17" s="256" t="inlineStr">
        <is>
          <t>Comparable check</t>
        </is>
      </c>
      <c r="D17" s="256" t="inlineStr">
        <is>
          <t>Machinery and sports-surface listings are deal-flow checks, not pest comps. Machinery is capital-intensive/nonlocal; sports surfaces lacks enough relevance.</t>
        </is>
      </c>
      <c r="E17" s="256" t="inlineStr">
        <is>
          <t>Not used in model</t>
        </is>
      </c>
    </row>
    <row r="18">
      <c r="A18" s="249" t="n"/>
      <c r="B18" s="256" t="inlineStr">
        <is>
          <t>G&amp;B Financial Model Template.xlsx</t>
        </is>
      </c>
      <c r="C18" s="256" t="inlineStr">
        <is>
          <t>Baseline structure</t>
        </is>
      </c>
      <c r="D18" s="256" t="inlineStr">
        <is>
          <t>Master template from Manager Documents / G&amp;B Master Templates. Sources/uses, cash flow, debt schedule, returns framework retained and used as the reference single-acquisition structure.</t>
        </is>
      </c>
      <c r="E18" s="256" t="inlineStr">
        <is>
          <t>Used as baseline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FD149"/>
  <sheetViews>
    <sheetView showGridLines="0" zoomScale="140" zoomScaleNormal="140" zoomScaleSheetLayoutView="69" workbookViewId="0">
      <selection activeCell="B3" sqref="B3"/>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21"/>
    <col width="8.6640625" customWidth="1" style="18" min="22" max="16384"/>
  </cols>
  <sheetData>
    <row r="1">
      <c r="A1" s="18" t="n"/>
    </row>
    <row r="2" ht="25" customHeight="1">
      <c r="A2" s="6" t="inlineStr">
        <is>
          <t>x</t>
        </is>
      </c>
      <c r="B2" s="27" t="inlineStr">
        <is>
          <t>G&amp;B Financial Model Template - Baseline Reference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t="n">
        <v>8500</v>
      </c>
      <c r="O15" s="144" t="inlineStr">
        <is>
          <t>*Refer to the Search Fund Study to understand median multiples, revenue, EBITDA, and more.</t>
        </is>
      </c>
    </row>
    <row r="16">
      <c r="B16" s="33" t="inlineStr">
        <is>
          <t>Term Debt</t>
        </is>
      </c>
      <c r="C16" s="184">
        <f>D16*N17</f>
        <v/>
      </c>
      <c r="D16" s="35">
        <f>N20</f>
        <v/>
      </c>
      <c r="E16" s="13">
        <f>C16/C25</f>
        <v/>
      </c>
      <c r="F16" s="36" t="n"/>
      <c r="G16" s="37" t="inlineStr">
        <is>
          <t>TEV</t>
        </is>
      </c>
      <c r="H16" s="184">
        <f>N15</f>
        <v/>
      </c>
      <c r="I16" s="35">
        <f>H16/$N$17</f>
        <v/>
      </c>
      <c r="J16" s="13">
        <f>H16/$H$25</f>
        <v/>
      </c>
      <c r="L16" s="3" t="inlineStr">
        <is>
          <t>Entry Multiple</t>
        </is>
      </c>
      <c r="N16" s="11" t="inlineStr">
        <is>
          <t>EBITDA</t>
        </is>
      </c>
    </row>
    <row r="17">
      <c r="B17" s="38" t="inlineStr">
        <is>
          <t>Seller Debt</t>
        </is>
      </c>
      <c r="C17" s="39">
        <f>N21</f>
        <v/>
      </c>
      <c r="D17" s="40">
        <f>C17/$N$17</f>
        <v/>
      </c>
      <c r="E17" s="14">
        <f>C17/C25</f>
        <v/>
      </c>
      <c r="F17" s="36" t="n"/>
      <c r="G17" s="37" t="inlineStr">
        <is>
          <t>Fees</t>
        </is>
      </c>
      <c r="H17" s="3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2.5</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1000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200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500</v>
      </c>
    </row>
    <row r="28">
      <c r="B28" s="182" t="inlineStr">
        <is>
          <t>Summary Financials</t>
        </is>
      </c>
      <c r="L28" s="19" t="inlineStr">
        <is>
          <t>Y1 Revenue Threshold</t>
        </is>
      </c>
      <c r="M28" s="52" t="n"/>
      <c r="N28" s="202" t="n">
        <v>5000</v>
      </c>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2684</v>
      </c>
      <c r="D34" s="205" t="n">
        <v>3720</v>
      </c>
      <c r="E34" s="205" t="n">
        <v>4750</v>
      </c>
      <c r="F34" s="206">
        <f>E34*(1+F35)</f>
        <v/>
      </c>
      <c r="G34" s="206">
        <f>F34*(1+G35)</f>
        <v/>
      </c>
      <c r="H34" s="206">
        <f>G34*(1+H35)</f>
        <v/>
      </c>
      <c r="I34" s="206">
        <f>H34*(1+I35)</f>
        <v/>
      </c>
      <c r="J34" s="206">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0.2289473684210526</v>
      </c>
      <c r="G35" s="209" t="n">
        <v>0.2671306209850106</v>
      </c>
      <c r="H35" s="209" t="n">
        <v>0.2901563160118292</v>
      </c>
      <c r="I35" s="209" t="n">
        <v>0.307629838234331</v>
      </c>
      <c r="J35" s="209" t="n">
        <v>0.3118125632318618</v>
      </c>
      <c r="L35" s="156" t="n"/>
    </row>
    <row r="36">
      <c r="C36" s="203" t="n"/>
      <c r="D36" s="208" t="n"/>
      <c r="E36" s="208" t="n"/>
      <c r="F36" s="210" t="n"/>
      <c r="G36" s="210" t="n"/>
      <c r="H36" s="210" t="n"/>
      <c r="I36" s="210" t="n"/>
      <c r="J36" s="210" t="n"/>
      <c r="L36" s="156" t="n"/>
    </row>
    <row r="37">
      <c r="B37" s="18" t="inlineStr">
        <is>
          <t>GAAP Revenue</t>
        </is>
      </c>
      <c r="C37" s="211" t="n">
        <v>2123</v>
      </c>
      <c r="D37" s="211" t="n">
        <v>3202</v>
      </c>
      <c r="E37" s="211" t="n">
        <v>4235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60" t="n">
        <v>0.25</v>
      </c>
      <c r="G38" s="60" t="n">
        <v>0.25</v>
      </c>
      <c r="H38" s="60" t="n">
        <v>0.2799999999999998</v>
      </c>
      <c r="I38" s="60" t="n">
        <v>0.3</v>
      </c>
      <c r="J38" s="60" t="n">
        <v>0.3099999999999998</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GAAP EBITDA</t>
        </is>
      </c>
      <c r="C40" s="211" t="n">
        <v>465</v>
      </c>
      <c r="D40" s="211" t="n">
        <v>689</v>
      </c>
      <c r="E40" s="211" t="n">
        <v>1256</v>
      </c>
      <c r="F40" s="212">
        <f>F41*F37</f>
        <v/>
      </c>
      <c r="G40" s="212">
        <f>G41*G37</f>
        <v/>
      </c>
      <c r="H40" s="212">
        <f>H41*H37</f>
        <v/>
      </c>
      <c r="I40" s="212">
        <f>I41*I37</f>
        <v/>
      </c>
      <c r="J40" s="212">
        <f>J41*J37</f>
        <v/>
      </c>
      <c r="L40" s="207">
        <f>_xlfn.RRI(2,C40,E40)</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60" t="n">
        <v>0.22</v>
      </c>
      <c r="G41" s="60" t="n">
        <v>0.22</v>
      </c>
      <c r="H41" s="60" t="n">
        <v>0.25</v>
      </c>
      <c r="I41" s="60" t="n">
        <v>0.28</v>
      </c>
      <c r="J41" s="60" t="n">
        <v>0.29</v>
      </c>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14">
        <f>F40</f>
        <v/>
      </c>
      <c r="G43" s="214">
        <f>G40</f>
        <v/>
      </c>
      <c r="H43" s="214">
        <f>H40</f>
        <v/>
      </c>
      <c r="I43" s="214">
        <f>I40</f>
        <v/>
      </c>
      <c r="J43" s="214">
        <f>J40</f>
        <v/>
      </c>
      <c r="XFD43" s="60" t="n"/>
    </row>
    <row r="44">
      <c r="B44" s="18" t="inlineStr">
        <is>
          <t>Depreciation</t>
        </is>
      </c>
      <c r="C44" s="132" t="n"/>
      <c r="D44" s="132" t="n"/>
      <c r="E44" s="132" t="n"/>
      <c r="F44" s="215">
        <f>-($L$44*F37)</f>
        <v/>
      </c>
      <c r="G44" s="215">
        <f>-($L$44*G37)</f>
        <v/>
      </c>
      <c r="H44" s="215">
        <f>-($L$44*H37)</f>
        <v/>
      </c>
      <c r="I44" s="215">
        <f>-($L$44*I37)</f>
        <v/>
      </c>
      <c r="J44" s="215">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16">
        <f>SUM(F43:F44)</f>
        <v/>
      </c>
      <c r="G45" s="216">
        <f>SUM(G43:G44)</f>
        <v/>
      </c>
      <c r="H45" s="216">
        <f>SUM(H43:H44)</f>
        <v/>
      </c>
      <c r="I45" s="216">
        <f>SUM(I43:I44)</f>
        <v/>
      </c>
      <c r="J45" s="216">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17">
        <f>-F80-F89</f>
        <v/>
      </c>
      <c r="G47" s="217">
        <f>-G80-G89</f>
        <v/>
      </c>
      <c r="H47" s="217">
        <f>-H80-H89</f>
        <v/>
      </c>
      <c r="I47" s="217">
        <f>-I80-I89</f>
        <v/>
      </c>
      <c r="J47" s="217">
        <f>-J80-J89</f>
        <v/>
      </c>
      <c r="L47" s="6" t="n"/>
      <c r="O47" s="145" t="n"/>
      <c r="XFD47" s="60" t="n"/>
    </row>
    <row r="48">
      <c r="B48" s="65" t="inlineStr">
        <is>
          <t>EBT</t>
        </is>
      </c>
      <c r="C48" s="66" t="n"/>
      <c r="D48" s="66" t="n"/>
      <c r="E48" s="66" t="n"/>
      <c r="F48" s="216">
        <f>F45+F47</f>
        <v/>
      </c>
      <c r="G48" s="216">
        <f>G45+G47</f>
        <v/>
      </c>
      <c r="H48" s="216">
        <f>H45+H47</f>
        <v/>
      </c>
      <c r="I48" s="216">
        <f>I45+I47</f>
        <v/>
      </c>
      <c r="J48" s="216">
        <f>J45+J47</f>
        <v/>
      </c>
      <c r="L48" s="6" t="n"/>
      <c r="O48" s="148" t="n"/>
      <c r="P48" s="60" t="n"/>
      <c r="Q48" s="60" t="n"/>
      <c r="R48" s="60" t="n"/>
      <c r="S48" s="60" t="n"/>
      <c r="XFD48" s="60" t="n"/>
    </row>
    <row r="49">
      <c r="C49" s="132" t="n"/>
      <c r="D49" s="132" t="n"/>
      <c r="E49" s="132" t="n"/>
      <c r="F49" s="60" t="n"/>
      <c r="G49" s="60" t="n"/>
      <c r="H49" s="60" t="n"/>
      <c r="I49" s="60" t="n"/>
      <c r="J49" s="60" t="n"/>
      <c r="L49" s="6" t="n"/>
      <c r="O49" s="145" t="n"/>
      <c r="P49" s="75" t="n"/>
      <c r="Q49" s="75" t="n"/>
      <c r="R49" s="75" t="n"/>
      <c r="S49" s="75" t="n"/>
      <c r="T49" s="75" t="n"/>
      <c r="U49" s="75" t="n"/>
      <c r="XFD49" s="60" t="n"/>
    </row>
    <row r="50">
      <c r="B50" s="18" t="inlineStr">
        <is>
          <t>Taxes Owed / Distributed</t>
        </is>
      </c>
      <c r="C50" s="132" t="n"/>
      <c r="D50" s="132" t="n"/>
      <c r="E50" s="133">
        <f>IF(N24="LLC",45%,26.5%)</f>
        <v/>
      </c>
      <c r="F50" s="217">
        <f>-$E$50*F48</f>
        <v/>
      </c>
      <c r="G50" s="217">
        <f>-$E$50*G48</f>
        <v/>
      </c>
      <c r="H50" s="217">
        <f>-$E$50*H48</f>
        <v/>
      </c>
      <c r="I50" s="217">
        <f>-$E$50*I48</f>
        <v/>
      </c>
      <c r="J50" s="217">
        <f>-$E$50*J48</f>
        <v/>
      </c>
      <c r="N50" s="21" t="n"/>
      <c r="O50" s="145" t="n"/>
      <c r="P50" s="75" t="n"/>
      <c r="Q50" s="75" t="n"/>
      <c r="R50" s="75" t="n"/>
      <c r="S50" s="75" t="n"/>
      <c r="T50" s="75" t="n"/>
      <c r="U50" s="75" t="n"/>
      <c r="XFD50" s="60" t="n"/>
    </row>
    <row r="51">
      <c r="B51" s="65" t="inlineStr">
        <is>
          <t>Net Income</t>
        </is>
      </c>
      <c r="C51" s="66" t="n"/>
      <c r="D51" s="66" t="n"/>
      <c r="E51" s="132" t="n"/>
      <c r="F51" s="216">
        <f>F48+F50</f>
        <v/>
      </c>
      <c r="G51" s="216">
        <f>G48+G50</f>
        <v/>
      </c>
      <c r="H51" s="216">
        <f>H48+H50</f>
        <v/>
      </c>
      <c r="I51" s="216">
        <f>I48+I50</f>
        <v/>
      </c>
      <c r="J51" s="216">
        <f>J48+J50</f>
        <v/>
      </c>
      <c r="L51" s="6"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12">
        <f>F51</f>
        <v/>
      </c>
      <c r="G55" s="212">
        <f>G51</f>
        <v/>
      </c>
      <c r="H55" s="212">
        <f>H51</f>
        <v/>
      </c>
      <c r="I55" s="212">
        <f>I51</f>
        <v/>
      </c>
      <c r="J55" s="212">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v>
      </c>
      <c r="I82" s="80" t="n">
        <v>0</v>
      </c>
      <c r="J82" s="80" t="n">
        <v>1</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N112" s="86" t="n"/>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L114" s="90" t="n"/>
      <c r="O114" s="145" t="n"/>
    </row>
    <row r="115">
      <c r="O115" s="145" t="n"/>
    </row>
    <row r="116">
      <c r="B116" s="76" t="inlineStr">
        <is>
          <t>Preferred Equity</t>
        </is>
      </c>
      <c r="M116" s="235" t="n"/>
      <c r="O116" s="145" t="n"/>
    </row>
    <row r="117">
      <c r="B117" s="18" t="inlineStr">
        <is>
          <t>Beginning Balance</t>
        </is>
      </c>
      <c r="F117" s="220">
        <f>C23+(H105*H104)</f>
        <v/>
      </c>
      <c r="G117" s="220">
        <f>F120</f>
        <v/>
      </c>
      <c r="H117" s="220">
        <f>G120</f>
        <v/>
      </c>
      <c r="I117" s="220">
        <f>H120</f>
        <v/>
      </c>
      <c r="J117" s="220">
        <f>I120</f>
        <v/>
      </c>
      <c r="M117" s="220" t="n"/>
      <c r="N117" s="236" t="n"/>
      <c r="O117" s="237" t="n"/>
    </row>
    <row r="118" ht="10" customHeight="1">
      <c r="B118" s="18" t="inlineStr">
        <is>
          <t>(+) Preferred Return</t>
        </is>
      </c>
      <c r="D118" s="83" t="n">
        <v>0.08</v>
      </c>
      <c r="F118" s="226">
        <f>F117*$D$118</f>
        <v/>
      </c>
      <c r="G118" s="218">
        <f>G117*$D$118</f>
        <v/>
      </c>
      <c r="H118" s="218">
        <f>H117*$D$118</f>
        <v/>
      </c>
      <c r="I118" s="218">
        <f>I117*$D$118</f>
        <v/>
      </c>
      <c r="J118" s="218">
        <f>J117*$D$118</f>
        <v/>
      </c>
      <c r="L118" s="238" t="n"/>
      <c r="M118" s="239"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f>N130</f>
        <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3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conditionalFormatting sqref="B34:L35">
    <cfRule type="expression" priority="2" dxfId="0">
      <formula>$N$16="EBITDA"</formula>
    </cfRule>
  </conditionalFormatting>
  <conditionalFormatting sqref="F38:J38">
    <cfRule type="expression" priority="1" dxfId="0">
      <formula>$N$16="ARR"</formula>
    </cfRule>
  </conditionalFormatting>
  <dataValidations count="3">
    <dataValidation sqref="H102 N23 N26 N132" showDropDown="0" showInputMessage="1" showErrorMessage="1" allowBlank="1" type="list">
      <formula1>"0,1"</formula1>
    </dataValidation>
    <dataValidation sqref="N16" showDropDown="0" showInputMessage="1" showErrorMessage="1" allowBlank="1" type="list">
      <formula1>"EBITDA, ARR"</formula1>
    </dataValidation>
    <dataValidation sqref="N24" showDropDown="0" showInputMessage="1" showErrorMessage="1" allowBlank="1" type="list">
      <formula1>"LLC, C-corp"</formula1>
    </dataValidation>
  </dataValidation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xl/worksheets/sheet8.xml><?xml version="1.0" encoding="utf-8"?>
<worksheet xmlns="http://schemas.openxmlformats.org/spreadsheetml/2006/main">
  <sheetPr>
    <outlinePr summaryBelow="1" summaryRight="1"/>
    <pageSetUpPr/>
  </sheetPr>
  <dimension ref="A1:XFD149"/>
  <sheetViews>
    <sheetView showGridLines="0" zoomScaleNormal="100" zoomScaleSheetLayoutView="69" workbookViewId="0">
      <selection activeCell="B3" sqref="B3"/>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19"/>
    <col width="8.6640625" customWidth="1" style="18" min="20"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t="n">
        <v>15000</v>
      </c>
      <c r="O15" s="144" t="inlineStr">
        <is>
          <t>*Refer to the Search Fund Study to understand median multiples, revenue, EBITDA, and more.</t>
        </is>
      </c>
    </row>
    <row r="16">
      <c r="B16" s="33" t="inlineStr">
        <is>
          <t>Term Debt</t>
        </is>
      </c>
      <c r="C16" s="184">
        <f>D16*N17</f>
        <v/>
      </c>
      <c r="D16" s="35">
        <f>N20</f>
        <v/>
      </c>
      <c r="E16" s="13">
        <f>C16/C25</f>
        <v/>
      </c>
      <c r="F16" s="36" t="n"/>
      <c r="G16" s="37" t="inlineStr">
        <is>
          <t>TEV</t>
        </is>
      </c>
      <c r="H16" s="184">
        <f>N15</f>
        <v/>
      </c>
      <c r="I16" s="35">
        <f>H16/$N$17</f>
        <v/>
      </c>
      <c r="J16" s="13">
        <f>H16/$H$25</f>
        <v/>
      </c>
      <c r="L16" s="3" t="inlineStr">
        <is>
          <t>Entry Multiple</t>
        </is>
      </c>
      <c r="N16" s="11" t="inlineStr">
        <is>
          <t>ARR</t>
        </is>
      </c>
    </row>
    <row r="17">
      <c r="B17" s="38" t="inlineStr">
        <is>
          <t>Seller Debt</t>
        </is>
      </c>
      <c r="C17" s="39">
        <f>N21</f>
        <v/>
      </c>
      <c r="D17" s="40">
        <f>C17/$N$17</f>
        <v/>
      </c>
      <c r="E17" s="14">
        <f>C17/C25</f>
        <v/>
      </c>
      <c r="F17" s="36" t="n"/>
      <c r="G17" s="37" t="inlineStr">
        <is>
          <t>Fees</t>
        </is>
      </c>
      <c r="H17" s="3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0.5</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1000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350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500</v>
      </c>
    </row>
    <row r="28">
      <c r="B28" s="182" t="inlineStr">
        <is>
          <t>Summary Financials</t>
        </is>
      </c>
      <c r="L28" s="19" t="inlineStr">
        <is>
          <t>Y1 Revenue Threshold</t>
        </is>
      </c>
      <c r="M28" s="52" t="n"/>
      <c r="N28" s="202" t="n">
        <v>5000</v>
      </c>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2138</v>
      </c>
      <c r="D34" s="205" t="n">
        <v>3392</v>
      </c>
      <c r="E34" s="205" t="n">
        <v>5078</v>
      </c>
      <c r="F34" s="206">
        <f>E34*(1+F35)</f>
        <v/>
      </c>
      <c r="G34" s="206">
        <f>F34*(1+G35)</f>
        <v/>
      </c>
      <c r="H34" s="206">
        <f>G34*(1+H35)</f>
        <v/>
      </c>
      <c r="I34" s="206">
        <f>H34*(1+I35)</f>
        <v/>
      </c>
      <c r="J34" s="206">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0.4185703032690036</v>
      </c>
      <c r="G35" s="209" t="n">
        <v>0.386909141389602</v>
      </c>
      <c r="H35" s="209" t="n">
        <v>0.354</v>
      </c>
      <c r="I35" s="209" t="n">
        <v>0.3395541079411197</v>
      </c>
      <c r="J35" s="209" t="n">
        <v>0.2879373541046848</v>
      </c>
      <c r="L35" s="156" t="n"/>
    </row>
    <row r="36">
      <c r="C36" s="203" t="n"/>
      <c r="D36" s="208" t="n"/>
      <c r="E36" s="208" t="n"/>
      <c r="F36" s="210" t="n"/>
      <c r="G36" s="210" t="n"/>
      <c r="H36" s="210" t="n"/>
      <c r="I36" s="210" t="n"/>
      <c r="J36" s="210" t="n"/>
      <c r="L36" s="156" t="n"/>
    </row>
    <row r="37">
      <c r="B37" s="18" t="inlineStr">
        <is>
          <t>GAAP Revenue</t>
        </is>
      </c>
      <c r="C37" s="211" t="n">
        <v>1657</v>
      </c>
      <c r="D37" s="211" t="n">
        <v>2765</v>
      </c>
      <c r="E37" s="211" t="n">
        <v>4235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60" t="n">
        <v>0.45</v>
      </c>
      <c r="G38" s="60" t="n">
        <v>0.4</v>
      </c>
      <c r="H38" s="60" t="n">
        <v>0.36</v>
      </c>
      <c r="I38" s="60" t="n">
        <v>0.34</v>
      </c>
      <c r="J38" s="60" t="n">
        <v>0.31</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GAAP EBITDA</t>
        </is>
      </c>
      <c r="C40" s="211" t="n">
        <v>-34</v>
      </c>
      <c r="D40" s="211" t="n">
        <v>105</v>
      </c>
      <c r="E40" s="211" t="n">
        <v>405</v>
      </c>
      <c r="F40" s="212">
        <f>F41*F37</f>
        <v/>
      </c>
      <c r="G40" s="212">
        <f>G41*G37</f>
        <v/>
      </c>
      <c r="H40" s="212">
        <f>H41*H37</f>
        <v/>
      </c>
      <c r="I40" s="212">
        <f>I41*I37</f>
        <v/>
      </c>
      <c r="J40" s="212">
        <f>J41*J37</f>
        <v/>
      </c>
      <c r="L40" s="207">
        <f>IFERROR(_xlfn.RRI(2,C40,E40),"N/A")</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60" t="n">
        <v>0.03</v>
      </c>
      <c r="G41" s="60" t="n">
        <v>0.05</v>
      </c>
      <c r="H41" s="60" t="n">
        <v>0.114</v>
      </c>
      <c r="I41" s="60" t="n">
        <v>0.12</v>
      </c>
      <c r="J41" s="60" t="n">
        <v>0.14</v>
      </c>
      <c r="L41" s="267" t="n"/>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68">
        <f>F40</f>
        <v/>
      </c>
      <c r="G43" s="268">
        <f>G40</f>
        <v/>
      </c>
      <c r="H43" s="268">
        <f>H40</f>
        <v/>
      </c>
      <c r="I43" s="268">
        <f>I40</f>
        <v/>
      </c>
      <c r="J43" s="268">
        <f>J40</f>
        <v/>
      </c>
      <c r="XFD43" s="60" t="n"/>
    </row>
    <row r="44">
      <c r="B44" s="18" t="inlineStr">
        <is>
          <t>Depreciation</t>
        </is>
      </c>
      <c r="C44" s="132" t="n"/>
      <c r="D44" s="132" t="n"/>
      <c r="E44" s="132" t="n"/>
      <c r="F44" s="269">
        <f>-($L$44*F37)</f>
        <v/>
      </c>
      <c r="G44" s="269">
        <f>-($L$44*G37)</f>
        <v/>
      </c>
      <c r="H44" s="269">
        <f>-($L$44*H37)</f>
        <v/>
      </c>
      <c r="I44" s="269">
        <f>-($L$44*I37)</f>
        <v/>
      </c>
      <c r="J44" s="269">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70">
        <f>SUM(F43:F44)</f>
        <v/>
      </c>
      <c r="G45" s="270">
        <f>SUM(G43:G44)</f>
        <v/>
      </c>
      <c r="H45" s="270">
        <f>SUM(H43:H44)</f>
        <v/>
      </c>
      <c r="I45" s="270">
        <f>SUM(I43:I44)</f>
        <v/>
      </c>
      <c r="J45" s="270">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17">
        <f>-F80-F89</f>
        <v/>
      </c>
      <c r="G47" s="217">
        <f>-G80-G89</f>
        <v/>
      </c>
      <c r="H47" s="217">
        <f>-H80-H89</f>
        <v/>
      </c>
      <c r="I47" s="217">
        <f>-I80-I89</f>
        <v/>
      </c>
      <c r="J47" s="217">
        <f>-J80-J89</f>
        <v/>
      </c>
      <c r="L47" s="6" t="n"/>
      <c r="O47" s="145" t="n"/>
      <c r="XFD47" s="60" t="n"/>
    </row>
    <row r="48">
      <c r="B48" s="65" t="inlineStr">
        <is>
          <t>EBT</t>
        </is>
      </c>
      <c r="C48" s="66" t="n"/>
      <c r="D48" s="66" t="n"/>
      <c r="E48" s="66" t="n"/>
      <c r="F48" s="270">
        <f>F45+F47</f>
        <v/>
      </c>
      <c r="G48" s="270">
        <f>G45+G47</f>
        <v/>
      </c>
      <c r="H48" s="270">
        <f>H45+H47</f>
        <v/>
      </c>
      <c r="I48" s="270">
        <f>I45+I47</f>
        <v/>
      </c>
      <c r="J48" s="270">
        <f>J45+J47</f>
        <v/>
      </c>
      <c r="L48" s="6" t="n"/>
      <c r="O48" s="148" t="n"/>
      <c r="P48" s="60" t="n"/>
      <c r="Q48" s="60" t="n"/>
      <c r="R48" s="60" t="n"/>
      <c r="S48" s="60" t="n"/>
      <c r="XFD48" s="60" t="n"/>
    </row>
    <row r="49">
      <c r="C49" s="132" t="n"/>
      <c r="D49" s="132" t="n"/>
      <c r="E49" s="132" t="n"/>
      <c r="F49" s="271" t="n"/>
      <c r="G49" s="271" t="n"/>
      <c r="H49" s="271" t="n"/>
      <c r="I49" s="271" t="n"/>
      <c r="J49" s="271" t="n"/>
      <c r="L49" s="6" t="n"/>
      <c r="O49" s="145" t="n"/>
      <c r="P49" s="75" t="n"/>
      <c r="Q49" s="75" t="n"/>
      <c r="R49" s="75" t="n"/>
      <c r="S49" s="75" t="n"/>
      <c r="T49" s="75" t="n"/>
      <c r="U49" s="75" t="n"/>
      <c r="XFD49" s="60" t="n"/>
    </row>
    <row r="50">
      <c r="B50" s="18" t="inlineStr">
        <is>
          <t>Taxes Owed / Distributed</t>
        </is>
      </c>
      <c r="C50" s="132" t="n"/>
      <c r="D50" s="132" t="n"/>
      <c r="E50" s="133">
        <f>IF(N24="LLC",45%,26.5%)</f>
        <v/>
      </c>
      <c r="F50" s="269">
        <f>-$E$50*F48</f>
        <v/>
      </c>
      <c r="G50" s="269">
        <f>-$E$50*G48</f>
        <v/>
      </c>
      <c r="H50" s="269">
        <f>-$E$50*H48</f>
        <v/>
      </c>
      <c r="I50" s="269">
        <f>-$E$50*I48</f>
        <v/>
      </c>
      <c r="J50" s="269">
        <f>-$E$50*J48</f>
        <v/>
      </c>
      <c r="N50" s="21" t="n"/>
      <c r="O50" s="145" t="n"/>
      <c r="P50" s="75" t="n"/>
      <c r="Q50" s="75" t="n"/>
      <c r="R50" s="75" t="n"/>
      <c r="S50" s="75" t="n"/>
      <c r="T50" s="75" t="n"/>
      <c r="U50" s="75" t="n"/>
      <c r="XFD50" s="60" t="n"/>
    </row>
    <row r="51">
      <c r="B51" s="65" t="inlineStr">
        <is>
          <t>Net Income</t>
        </is>
      </c>
      <c r="C51" s="66" t="n"/>
      <c r="D51" s="66" t="n"/>
      <c r="E51" s="132" t="n"/>
      <c r="F51" s="270">
        <f>F48+F50</f>
        <v/>
      </c>
      <c r="G51" s="270">
        <f>G48+G50</f>
        <v/>
      </c>
      <c r="H51" s="270">
        <f>H48+H50</f>
        <v/>
      </c>
      <c r="I51" s="270">
        <f>I48+I50</f>
        <v/>
      </c>
      <c r="J51" s="270">
        <f>J48+J50</f>
        <v/>
      </c>
      <c r="L51" s="6" t="n"/>
      <c r="M51" s="212" t="n"/>
      <c r="N51" s="212"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25">
        <f>F51</f>
        <v/>
      </c>
      <c r="G55" s="225">
        <f>G51</f>
        <v/>
      </c>
      <c r="H55" s="225">
        <f>H51</f>
        <v/>
      </c>
      <c r="I55" s="225">
        <f>I51</f>
        <v/>
      </c>
      <c r="J55" s="225">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0.14</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0.3333333333333334</v>
      </c>
      <c r="I82" s="80" t="n">
        <v>0.3333333333333334</v>
      </c>
      <c r="J82" s="80" t="n">
        <v>0.3333333333333334</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F114" s="89" t="n"/>
      <c r="L114" s="90" t="n"/>
      <c r="O114" s="145" t="n"/>
    </row>
    <row r="115">
      <c r="O115" s="145" t="n"/>
    </row>
    <row r="116">
      <c r="B116" s="76" t="inlineStr">
        <is>
          <t>Preferred Equity</t>
        </is>
      </c>
      <c r="O116" s="145" t="n"/>
    </row>
    <row r="117">
      <c r="B117" s="18" t="inlineStr">
        <is>
          <t>Beginning Balance</t>
        </is>
      </c>
      <c r="F117" s="220">
        <f>C23+(H105*H104)</f>
        <v/>
      </c>
      <c r="G117" s="220">
        <f>F120</f>
        <v/>
      </c>
      <c r="H117" s="220">
        <f>G120</f>
        <v/>
      </c>
      <c r="I117" s="220">
        <f>H120</f>
        <v/>
      </c>
      <c r="J117" s="220">
        <f>I120</f>
        <v/>
      </c>
      <c r="O117" s="145" t="n"/>
    </row>
    <row r="118" ht="10" customHeight="1">
      <c r="B118" s="18" t="inlineStr">
        <is>
          <t>(+) Preferred Return</t>
        </is>
      </c>
      <c r="D118" s="83" t="n">
        <v>0.08</v>
      </c>
      <c r="F118" s="226">
        <f>F117*$D$118</f>
        <v/>
      </c>
      <c r="G118" s="218">
        <f>G117*$D$118</f>
        <v/>
      </c>
      <c r="H118" s="218">
        <f>H117*$D$118</f>
        <v/>
      </c>
      <c r="I118" s="218">
        <f>I117*$D$118</f>
        <v/>
      </c>
      <c r="J118" s="218">
        <f>J117*$D$118</f>
        <v/>
      </c>
      <c r="M118" s="272"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f>N130</f>
        <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73"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conditionalFormatting sqref="B34:L35">
    <cfRule type="expression" priority="2" dxfId="0">
      <formula>$N$16="EBITDA"</formula>
    </cfRule>
  </conditionalFormatting>
  <conditionalFormatting sqref="F38:J38">
    <cfRule type="expression" priority="1" dxfId="0">
      <formula>$N$16="ARR"</formula>
    </cfRule>
  </conditionalFormatting>
  <dataValidations count="3">
    <dataValidation sqref="N24" showDropDown="0" showInputMessage="1" showErrorMessage="1" allowBlank="1" type="list">
      <formula1>"LLC, C-corp"</formula1>
    </dataValidation>
    <dataValidation sqref="N16" showDropDown="0" showInputMessage="1" showErrorMessage="1" allowBlank="1" type="list">
      <formula1>"EBITDA, ARR"</formula1>
    </dataValidation>
    <dataValidation sqref="H102 N23 N26 N132" showDropDown="0" showInputMessage="1" showErrorMessage="1" allowBlank="1" type="list">
      <formula1>"0,1"</formula1>
    </dataValidation>
  </dataValidation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xl/worksheets/sheet9.xml><?xml version="1.0" encoding="utf-8"?>
<worksheet xmlns="http://schemas.openxmlformats.org/spreadsheetml/2006/main">
  <sheetPr>
    <outlinePr summaryBelow="1" summaryRight="1"/>
    <pageSetUpPr/>
  </sheetPr>
  <dimension ref="A1:XFD149"/>
  <sheetViews>
    <sheetView showGridLines="0" tabSelected="1" zoomScale="120" zoomScaleNormal="120" zoomScaleSheetLayoutView="69" workbookViewId="0">
      <selection activeCell="B3" sqref="B3"/>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13"/>
    <col width="9.83203125" bestFit="1" customWidth="1" style="18" min="14" max="14"/>
    <col width="8.6640625" customWidth="1" style="18" min="15" max="19"/>
    <col width="8.6640625" customWidth="1" style="18" min="20"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f>E40*8</f>
        <v/>
      </c>
      <c r="O15" s="144" t="inlineStr">
        <is>
          <t>*Refer to the Search Fund Study to understand median multiples, revenue, EBITDA, and more.</t>
        </is>
      </c>
    </row>
    <row r="16">
      <c r="B16" s="33" t="inlineStr">
        <is>
          <t>Term Debt</t>
        </is>
      </c>
      <c r="C16" s="184">
        <f>D16*E40</f>
        <v/>
      </c>
      <c r="D16" s="35">
        <f>N20</f>
        <v/>
      </c>
      <c r="E16" s="13">
        <f>C16/C25</f>
        <v/>
      </c>
      <c r="F16" s="36" t="n"/>
      <c r="G16" s="37" t="inlineStr">
        <is>
          <t>TEV</t>
        </is>
      </c>
      <c r="H16" s="184">
        <f>N15</f>
        <v/>
      </c>
      <c r="I16" s="35">
        <f>H16/$N$17</f>
        <v/>
      </c>
      <c r="J16" s="13">
        <f>H16/$H$25</f>
        <v/>
      </c>
      <c r="L16" s="3" t="inlineStr">
        <is>
          <t>Entry Multiple</t>
        </is>
      </c>
      <c r="N16" s="11" t="inlineStr">
        <is>
          <t>EBITDA</t>
        </is>
      </c>
    </row>
    <row r="17">
      <c r="B17" s="38" t="inlineStr">
        <is>
          <t>Seller Debt</t>
        </is>
      </c>
      <c r="C17" s="39">
        <f>N21</f>
        <v/>
      </c>
      <c r="D17" s="40">
        <f>C17/$N$17</f>
        <v/>
      </c>
      <c r="E17" s="14">
        <f>C17/C25</f>
        <v/>
      </c>
      <c r="F17" s="36" t="n"/>
      <c r="G17" s="37" t="inlineStr">
        <is>
          <t>Fees</t>
        </is>
      </c>
      <c r="H17" s="18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3</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1500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200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500</v>
      </c>
    </row>
    <row r="28">
      <c r="B28" s="182" t="inlineStr">
        <is>
          <t>Summary Financials</t>
        </is>
      </c>
      <c r="L28" s="19" t="inlineStr">
        <is>
          <t>Y1 Revenue Threshold</t>
        </is>
      </c>
      <c r="M28" s="52" t="n"/>
      <c r="N28" s="202" t="n">
        <v>6000</v>
      </c>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9796</v>
      </c>
      <c r="D34" s="205" t="n">
        <v>11304</v>
      </c>
      <c r="E34" s="205" t="n">
        <v>12700</v>
      </c>
      <c r="F34" s="212">
        <f>E34*(1+F35)</f>
        <v/>
      </c>
      <c r="G34" s="212">
        <f>F34*(1+G35)</f>
        <v/>
      </c>
      <c r="H34" s="212">
        <f>G34*(1+H35)</f>
        <v/>
      </c>
      <c r="I34" s="212">
        <f>H34*(1+I35)</f>
        <v/>
      </c>
      <c r="J34" s="212">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0.06018582677165352</v>
      </c>
      <c r="G35" s="209" t="n">
        <v>0.1764185746667504</v>
      </c>
      <c r="H35" s="209" t="n">
        <v>0.10904284286988</v>
      </c>
      <c r="I35" s="209" t="n">
        <v>0.2059469690082103</v>
      </c>
      <c r="J35" s="209" t="n">
        <v>0.1218996770264302</v>
      </c>
      <c r="L35" s="156" t="n"/>
    </row>
    <row r="36">
      <c r="C36" s="203" t="n"/>
      <c r="D36" s="208" t="n"/>
      <c r="E36" s="208" t="n"/>
      <c r="F36" s="210" t="n"/>
      <c r="G36" s="210" t="n"/>
      <c r="H36" s="210" t="n"/>
      <c r="I36" s="210" t="n"/>
      <c r="J36" s="210" t="n"/>
      <c r="L36" s="156" t="n"/>
    </row>
    <row r="37">
      <c r="B37" s="18" t="inlineStr">
        <is>
          <t>GAAP Revenue</t>
        </is>
      </c>
      <c r="C37" s="211" t="n">
        <v>8000</v>
      </c>
      <c r="D37" s="211" t="n">
        <v>9000</v>
      </c>
      <c r="E37" s="211" t="n">
        <v>10000</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60" t="n">
        <v>0.05</v>
      </c>
      <c r="G38" s="60" t="n">
        <v>0.2</v>
      </c>
      <c r="H38" s="60" t="n">
        <v>0.2</v>
      </c>
      <c r="I38" s="60" t="n">
        <v>0.2</v>
      </c>
      <c r="J38" s="60" t="n">
        <v>0.2</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GAAP EBITDA</t>
        </is>
      </c>
      <c r="C40" s="211" t="n">
        <v>1800</v>
      </c>
      <c r="D40" s="211" t="n">
        <v>1900</v>
      </c>
      <c r="E40" s="211" t="n">
        <v>2000</v>
      </c>
      <c r="F40" s="212">
        <f>F41*F37</f>
        <v/>
      </c>
      <c r="G40" s="212">
        <f>G41*G37</f>
        <v/>
      </c>
      <c r="H40" s="212">
        <f>H41*H37</f>
        <v/>
      </c>
      <c r="I40" s="212">
        <f>I41*I37</f>
        <v/>
      </c>
      <c r="J40" s="212">
        <f>J41*J37</f>
        <v/>
      </c>
      <c r="L40" s="207">
        <f>_xlfn.RRI(2,C40,E40)</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60" t="n">
        <v>0.2</v>
      </c>
      <c r="G41" s="60" t="n">
        <v>0.25</v>
      </c>
      <c r="H41" s="60" t="n">
        <v>0.25</v>
      </c>
      <c r="I41" s="60" t="n">
        <v>0.3</v>
      </c>
      <c r="J41" s="60" t="n">
        <v>0.33</v>
      </c>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14">
        <f>F40</f>
        <v/>
      </c>
      <c r="G43" s="214">
        <f>G40</f>
        <v/>
      </c>
      <c r="H43" s="214">
        <f>H40</f>
        <v/>
      </c>
      <c r="I43" s="214">
        <f>I40</f>
        <v/>
      </c>
      <c r="J43" s="214">
        <f>J40</f>
        <v/>
      </c>
      <c r="XFD43" s="60" t="n"/>
    </row>
    <row r="44">
      <c r="B44" s="18" t="inlineStr">
        <is>
          <t>Depreciation</t>
        </is>
      </c>
      <c r="C44" s="132" t="n"/>
      <c r="D44" s="132" t="n"/>
      <c r="E44" s="132" t="n"/>
      <c r="F44" s="215">
        <f>-($L$44*F37)</f>
        <v/>
      </c>
      <c r="G44" s="215">
        <f>-($L$44*G37)</f>
        <v/>
      </c>
      <c r="H44" s="215">
        <f>-($L$44*H37)</f>
        <v/>
      </c>
      <c r="I44" s="215">
        <f>-($L$44*I37)</f>
        <v/>
      </c>
      <c r="J44" s="215">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16">
        <f>SUM(F43:F44)</f>
        <v/>
      </c>
      <c r="G45" s="216">
        <f>SUM(G43:G44)</f>
        <v/>
      </c>
      <c r="H45" s="216">
        <f>SUM(H43:H44)</f>
        <v/>
      </c>
      <c r="I45" s="216">
        <f>SUM(I43:I44)</f>
        <v/>
      </c>
      <c r="J45" s="216">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69">
        <f>-F80-F89</f>
        <v/>
      </c>
      <c r="G47" s="269">
        <f>-G80-G89</f>
        <v/>
      </c>
      <c r="H47" s="269">
        <f>-H80-H89</f>
        <v/>
      </c>
      <c r="I47" s="269">
        <f>-I80-I89</f>
        <v/>
      </c>
      <c r="J47" s="269">
        <f>-J80-J89</f>
        <v/>
      </c>
      <c r="L47" s="6" t="n"/>
      <c r="O47" s="145" t="n"/>
      <c r="XFD47" s="60" t="n"/>
    </row>
    <row r="48">
      <c r="B48" s="65" t="inlineStr">
        <is>
          <t>EBT</t>
        </is>
      </c>
      <c r="C48" s="66" t="n"/>
      <c r="D48" s="66" t="n"/>
      <c r="E48" s="66" t="n"/>
      <c r="F48" s="270">
        <f>F45+F47</f>
        <v/>
      </c>
      <c r="G48" s="270">
        <f>G45+G47</f>
        <v/>
      </c>
      <c r="H48" s="270">
        <f>H45+H47</f>
        <v/>
      </c>
      <c r="I48" s="270">
        <f>I45+I47</f>
        <v/>
      </c>
      <c r="J48" s="270">
        <f>J45+J47</f>
        <v/>
      </c>
      <c r="L48" s="6" t="n"/>
      <c r="O48" s="148" t="n"/>
      <c r="P48" s="60" t="n"/>
      <c r="Q48" s="60" t="n"/>
      <c r="R48" s="60" t="n"/>
      <c r="S48" s="60" t="n"/>
      <c r="XFD48" s="60" t="n"/>
    </row>
    <row r="49">
      <c r="C49" s="132" t="n"/>
      <c r="D49" s="132" t="n"/>
      <c r="E49" s="132" t="n"/>
      <c r="F49" s="60" t="n"/>
      <c r="G49" s="60" t="n"/>
      <c r="H49" s="60" t="n"/>
      <c r="I49" s="60" t="n"/>
      <c r="J49" s="60" t="n"/>
      <c r="L49" s="6" t="n"/>
      <c r="O49" s="145" t="n"/>
      <c r="P49" s="75" t="n"/>
      <c r="Q49" s="75" t="n"/>
      <c r="R49" s="75" t="n"/>
      <c r="S49" s="75" t="n"/>
      <c r="T49" s="75" t="n"/>
      <c r="U49" s="75" t="n"/>
      <c r="XFD49" s="60" t="n"/>
    </row>
    <row r="50">
      <c r="B50" s="18" t="inlineStr">
        <is>
          <t>Taxes Owed / Distributed</t>
        </is>
      </c>
      <c r="C50" s="132" t="n"/>
      <c r="D50" s="132" t="n"/>
      <c r="E50" s="133">
        <f>IF(N24="LLC",45%,26.5%)</f>
        <v/>
      </c>
      <c r="F50" s="269">
        <f>-$E$50*F48</f>
        <v/>
      </c>
      <c r="G50" s="269">
        <f>-$E$50*G48</f>
        <v/>
      </c>
      <c r="H50" s="269">
        <f>-$E$50*H48</f>
        <v/>
      </c>
      <c r="I50" s="269">
        <f>-$E$50*I48</f>
        <v/>
      </c>
      <c r="J50" s="269">
        <f>-$E$50*J48</f>
        <v/>
      </c>
      <c r="N50" s="21" t="n"/>
      <c r="O50" s="145" t="n"/>
      <c r="P50" s="75" t="n"/>
      <c r="Q50" s="75" t="n"/>
      <c r="R50" s="75" t="n"/>
      <c r="S50" s="75" t="n"/>
      <c r="T50" s="75" t="n"/>
      <c r="U50" s="75" t="n"/>
      <c r="XFD50" s="60" t="n"/>
    </row>
    <row r="51">
      <c r="B51" s="65" t="inlineStr">
        <is>
          <t>Net Income</t>
        </is>
      </c>
      <c r="C51" s="66" t="n"/>
      <c r="D51" s="66" t="n"/>
      <c r="E51" s="132" t="n"/>
      <c r="F51" s="270">
        <f>F48+F50</f>
        <v/>
      </c>
      <c r="G51" s="270">
        <f>G48+G50</f>
        <v/>
      </c>
      <c r="H51" s="270">
        <f>H48+H50</f>
        <v/>
      </c>
      <c r="I51" s="270">
        <f>I48+I50</f>
        <v/>
      </c>
      <c r="J51" s="270">
        <f>J48+J50</f>
        <v/>
      </c>
      <c r="L51" s="6"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25">
        <f>F51</f>
        <v/>
      </c>
      <c r="G55" s="225">
        <f>G51</f>
        <v/>
      </c>
      <c r="H55" s="225">
        <f>H51</f>
        <v/>
      </c>
      <c r="I55" s="225">
        <f>I51</f>
        <v/>
      </c>
      <c r="J55" s="225">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0.12</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v>
      </c>
      <c r="I82" s="80" t="n">
        <v>0</v>
      </c>
      <c r="J82" s="80" t="n">
        <v>1</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F114" s="89" t="n"/>
      <c r="L114" s="90" t="n"/>
      <c r="O114" s="145" t="n"/>
    </row>
    <row r="115">
      <c r="O115" s="145" t="n"/>
    </row>
    <row r="116">
      <c r="B116" s="76" t="inlineStr">
        <is>
          <t>Preferred Equity</t>
        </is>
      </c>
      <c r="O116" s="145" t="n"/>
    </row>
    <row r="117">
      <c r="B117" s="18" t="inlineStr">
        <is>
          <t>Beginning Balance</t>
        </is>
      </c>
      <c r="F117" s="220">
        <f>C23+(H105*H104)</f>
        <v/>
      </c>
      <c r="G117" s="220">
        <f>F120</f>
        <v/>
      </c>
      <c r="H117" s="220">
        <f>G120</f>
        <v/>
      </c>
      <c r="I117" s="220">
        <f>H120</f>
        <v/>
      </c>
      <c r="J117" s="220">
        <f>I120</f>
        <v/>
      </c>
      <c r="O117" s="145" t="n"/>
    </row>
    <row r="118" ht="10" customHeight="1">
      <c r="B118" s="18" t="inlineStr">
        <is>
          <t>(+) Preferred Return</t>
        </is>
      </c>
      <c r="D118" s="83" t="n">
        <v>0.08</v>
      </c>
      <c r="F118" s="226">
        <f>F117*$D$118</f>
        <v/>
      </c>
      <c r="G118" s="218">
        <f>G117*$D$118</f>
        <v/>
      </c>
      <c r="H118" s="218">
        <f>H117*$D$118</f>
        <v/>
      </c>
      <c r="I118" s="218">
        <f>I117*$D$118</f>
        <v/>
      </c>
      <c r="J118" s="218">
        <f>J117*$D$118</f>
        <v/>
      </c>
      <c r="M118" s="272"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t="n">
        <v>8</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73"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conditionalFormatting sqref="B34:L35">
    <cfRule type="expression" priority="3" dxfId="0">
      <formula>$N$16="EBITDA"</formula>
    </cfRule>
  </conditionalFormatting>
  <conditionalFormatting sqref="F38:J38">
    <cfRule type="expression" priority="1" dxfId="0">
      <formula>$N$16="ARR"</formula>
    </cfRule>
  </conditionalFormatting>
  <dataValidations count="3">
    <dataValidation sqref="N24" showDropDown="0" showInputMessage="1" showErrorMessage="1" allowBlank="1" type="list">
      <formula1>"LLC, C-corp"</formula1>
    </dataValidation>
    <dataValidation sqref="N16" showDropDown="0" showInputMessage="1" showErrorMessage="1" allowBlank="1" type="list">
      <formula1>"EBITDA, ARR"</formula1>
    </dataValidation>
    <dataValidation sqref="H102 N23 N26 N132" showDropDown="0" showInputMessage="1" showErrorMessage="1" allowBlank="1" type="list">
      <formula1>"0,1"</formula1>
    </dataValidation>
  </dataValidation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Melissa Kaplan</dc:creator>
  <dcterms:created xmlns:dcterms="http://purl.org/dc/terms/" xmlns:xsi="http://www.w3.org/2001/XMLSchema-instance" xsi:type="dcterms:W3CDTF">2025-09-10T17:47:06Z</dcterms:created>
  <dcterms:modified xmlns:dcterms="http://purl.org/dc/terms/" xmlns:xsi="http://www.w3.org/2001/XMLSchema-instance" xsi:type="dcterms:W3CDTF">2026-06-18T15:40:30Z</dcterms:modified>
  <cp:lastModifiedBy>K Sch</cp:lastModifiedBy>
</cp:coreProperties>
</file>