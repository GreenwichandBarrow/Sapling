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er-Sale Economics" sheetId="3" state="visible" r:id="rId3"/>
    <sheet xmlns:r="http://schemas.openxmlformats.org/officeDocument/2006/relationships" name="Bridge Targets" sheetId="4" state="visible" r:id="rId4"/>
    <sheet xmlns:r="http://schemas.openxmlformats.org/officeDocument/2006/relationships" name="Optional Cost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8">
    <font>
      <name val="Calibri"/>
      <family val="2"/>
      <color theme="1"/>
      <sz val="11"/>
      <scheme val="minor"/>
    </font>
    <font>
      <name val="Georgia"/>
      <color rgb="0032363A"/>
      <sz val="18"/>
    </font>
    <font>
      <b val="1"/>
      <color rgb="0032363A"/>
    </font>
    <font>
      <name val="Georgia"/>
      <color rgb="0032363A"/>
      <sz val="15"/>
    </font>
    <font>
      <name val="Georgia"/>
      <family val="2"/>
      <color rgb="0032363A"/>
      <sz val="11"/>
      <scheme val="minor"/>
    </font>
    <font>
      <name val="Aptos"/>
      <family val="2"/>
      <color rgb="0032363A"/>
      <sz val="11"/>
      <scheme val="minor"/>
    </font>
    <font>
      <name val="Aptos"/>
      <b val="1"/>
      <color rgb="0032363A"/>
    </font>
    <font>
      <name val="Aptos"/>
      <color rgb="0032363A"/>
      <sz val="15"/>
    </font>
  </fonts>
  <fills count="3">
    <fill>
      <patternFill/>
    </fill>
    <fill>
      <patternFill patternType="gray125"/>
    </fill>
    <fill>
      <patternFill patternType="solid">
        <fgColor rgb="00E9DDD3"/>
      </patternFill>
    </fill>
  </fills>
  <borders count="2">
    <border>
      <left/>
      <right/>
      <top/>
      <bottom/>
      <diagonal/>
    </border>
    <border>
      <left style="thin">
        <color rgb="00D8CABC"/>
      </left>
      <right style="thin">
        <color rgb="00D8CABC"/>
      </right>
      <top style="thin">
        <color rgb="00D8CABC"/>
      </top>
      <bottom style="thin">
        <color rgb="00D8CAB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4" customWidth="1" min="3" max="3"/>
  </cols>
  <sheetData>
    <row r="1">
      <c r="A1" s="1" t="inlineStr">
        <is>
          <t>TPFO Household Protection Binder - Launch Test Budget</t>
        </is>
      </c>
      <c r="B1" s="2" t="n"/>
      <c r="C1" s="2" t="n"/>
    </row>
    <row r="2">
      <c r="A2" s="3" t="n"/>
      <c r="B2" s="3" t="n"/>
      <c r="C2" s="3" t="n"/>
    </row>
    <row r="3">
      <c r="A3" s="4" t="inlineStr">
        <is>
          <t>Decision</t>
        </is>
      </c>
      <c r="B3" s="4" t="inlineStr">
        <is>
          <t>Current Launch Assumption</t>
        </is>
      </c>
      <c r="C3" s="3" t="n"/>
    </row>
    <row r="4">
      <c r="A4" s="5" t="inlineStr">
        <is>
          <t>Product</t>
        </is>
      </c>
      <c r="B4" s="5" t="inlineStr">
        <is>
          <t>TPFO Household Protection Binder</t>
        </is>
      </c>
      <c r="C4" s="3" t="n"/>
    </row>
    <row r="5">
      <c r="A5" s="5" t="inlineStr">
        <is>
          <t>First test price</t>
        </is>
      </c>
      <c r="B5" s="6" t="n">
        <v>49</v>
      </c>
      <c r="C5" s="3" t="n"/>
    </row>
    <row r="6">
      <c r="A6" s="5" t="inlineStr">
        <is>
          <t>Sales platform</t>
        </is>
      </c>
      <c r="B6" s="5" t="inlineStr">
        <is>
          <t>Gumroad direct checkout</t>
        </is>
      </c>
      <c r="C6" s="3" t="n"/>
    </row>
    <row r="7">
      <c r="A7" s="5" t="inlineStr">
        <is>
          <t>Advertising budget</t>
        </is>
      </c>
      <c r="B7" s="5" t="n">
        <v>0</v>
      </c>
      <c r="C7" s="3" t="n"/>
    </row>
    <row r="8">
      <c r="A8" s="5" t="inlineStr">
        <is>
          <t>Initial channel</t>
        </is>
      </c>
      <c r="B8" s="5" t="inlineStr">
        <is>
          <t>Pinterest organic + owned-site SEO</t>
        </is>
      </c>
      <c r="C8" s="3" t="n"/>
    </row>
    <row r="9">
      <c r="A9" s="5" t="inlineStr">
        <is>
          <t>Optional marketplace test</t>
        </is>
      </c>
      <c r="B9" s="5" t="inlineStr">
        <is>
          <t>Etsy, not approved yet</t>
        </is>
      </c>
      <c r="C9" s="3" t="n"/>
    </row>
    <row r="10">
      <c r="A10" s="5" t="inlineStr">
        <is>
          <t>Publication status</t>
        </is>
      </c>
      <c r="B10" s="5" t="inlineStr">
        <is>
          <t>Not published</t>
        </is>
      </c>
      <c r="C10" s="3" t="n"/>
    </row>
    <row r="11">
      <c r="A11" s="5" t="inlineStr">
        <is>
          <t>Payment status</t>
        </is>
      </c>
      <c r="B11" s="5" t="inlineStr">
        <is>
          <t>Not enabled</t>
        </is>
      </c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7" t="inlineStr">
        <is>
          <t>Per-Sale Economics</t>
        </is>
      </c>
      <c r="B14" s="3" t="n"/>
      <c r="C14" s="3" t="n"/>
    </row>
    <row r="15">
      <c r="A15" s="5" t="inlineStr">
        <is>
          <t>Direct Gumroad sale gross</t>
        </is>
      </c>
      <c r="B15" s="6">
        <f>Assumptions!B4</f>
        <v/>
      </c>
      <c r="C15" s="3" t="n"/>
    </row>
    <row r="16">
      <c r="A16" s="5" t="inlineStr">
        <is>
          <t>Estimated direct-sale fees</t>
        </is>
      </c>
      <c r="B16" s="6">
        <f>'Per-Sale Economics'!B8</f>
        <v/>
      </c>
      <c r="C16" s="3" t="n"/>
    </row>
    <row r="17">
      <c r="A17" s="5" t="inlineStr">
        <is>
          <t>Estimated net per direct sale before income taxes</t>
        </is>
      </c>
      <c r="B17" s="6">
        <f>'Per-Sale Economics'!B9</f>
        <v/>
      </c>
      <c r="C17" s="3" t="n"/>
    </row>
    <row r="18">
      <c r="A18" s="5" t="inlineStr">
        <is>
          <t>Gumroad Discover sale gross</t>
        </is>
      </c>
      <c r="B18" s="6">
        <f>Assumptions!B4</f>
        <v/>
      </c>
      <c r="C18" s="3" t="n"/>
    </row>
    <row r="19">
      <c r="A19" s="5" t="inlineStr">
        <is>
          <t>Estimated Discover fees</t>
        </is>
      </c>
      <c r="B19" s="6">
        <f>'Per-Sale Economics'!C8</f>
        <v/>
      </c>
      <c r="C19" s="3" t="n"/>
    </row>
    <row r="20">
      <c r="A20" s="5" t="inlineStr">
        <is>
          <t>Estimated net per Discover sale before income taxes</t>
        </is>
      </c>
      <c r="B20" s="6">
        <f>'Per-Sale Economics'!C9</f>
        <v/>
      </c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7" t="inlineStr">
        <is>
          <t>Monthly Bridge Target Scenarios</t>
        </is>
      </c>
      <c r="B23" s="3" t="n"/>
      <c r="C23" s="3" t="n"/>
    </row>
    <row r="24">
      <c r="A24" s="4" t="inlineStr">
        <is>
          <t>Target net before income taxes</t>
        </is>
      </c>
      <c r="B24" s="4" t="inlineStr">
        <is>
          <t>Direct sales needed</t>
        </is>
      </c>
      <c r="C24" s="4" t="inlineStr">
        <is>
          <t>Discover sales needed</t>
        </is>
      </c>
    </row>
    <row r="25">
      <c r="A25" s="8" t="n">
        <v>10000</v>
      </c>
      <c r="B25" s="5">
        <f>ROUNDUP(A25/'Per-Sale Economics'!B9,0)</f>
        <v/>
      </c>
      <c r="C25" s="5">
        <f>ROUNDUP(A25/'Per-Sale Economics'!C9,0)</f>
        <v/>
      </c>
    </row>
    <row r="26">
      <c r="A26" s="8" t="n">
        <v>20000</v>
      </c>
      <c r="B26" s="5">
        <f>ROUNDUP(A26/'Per-Sale Economics'!B9,0)</f>
        <v/>
      </c>
      <c r="C26" s="5">
        <f>ROUNDUP(A26/'Per-Sale Economics'!C9,0)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2" customWidth="1" min="3" max="3"/>
  </cols>
  <sheetData>
    <row r="1">
      <c r="A1" s="1" t="inlineStr">
        <is>
          <t>Assumptions</t>
        </is>
      </c>
      <c r="B1" s="2" t="n"/>
      <c r="C1" s="2" t="n"/>
    </row>
    <row r="2">
      <c r="A2" s="3" t="n"/>
      <c r="B2" s="3" t="n"/>
      <c r="C2" s="3" t="n"/>
    </row>
    <row r="3">
      <c r="A3" s="4" t="inlineStr">
        <is>
          <t>Input</t>
        </is>
      </c>
      <c r="B3" s="4" t="inlineStr">
        <is>
          <t>Value</t>
        </is>
      </c>
      <c r="C3" s="4" t="inlineStr">
        <is>
          <t>Source / Note</t>
        </is>
      </c>
    </row>
    <row r="4">
      <c r="A4" s="5" t="inlineStr">
        <is>
          <t>Product name</t>
        </is>
      </c>
      <c r="B4" s="5" t="inlineStr">
        <is>
          <t>TPFO Household Protection Binder</t>
        </is>
      </c>
      <c r="C4" s="5" t="inlineStr">
        <is>
          <t>Approved launch name</t>
        </is>
      </c>
    </row>
    <row r="5">
      <c r="A5" s="5" t="inlineStr">
        <is>
          <t>First test price</t>
        </is>
      </c>
      <c r="B5" s="6" t="n">
        <v>49</v>
      </c>
      <c r="C5" s="5" t="inlineStr">
        <is>
          <t>Approved launch price</t>
        </is>
      </c>
    </row>
    <row r="6">
      <c r="A6" s="5" t="inlineStr">
        <is>
          <t>Gumroad direct platform fee</t>
        </is>
      </c>
      <c r="B6" s="9" t="n">
        <v>0.1</v>
      </c>
      <c r="C6" s="5" t="inlineStr">
        <is>
          <t>Gumroad direct sales fee</t>
        </is>
      </c>
    </row>
    <row r="7">
      <c r="A7" s="5" t="inlineStr">
        <is>
          <t>Gumroad direct fixed fee</t>
        </is>
      </c>
      <c r="B7" s="9" t="n">
        <v>0.5</v>
      </c>
      <c r="C7" s="5" t="inlineStr">
        <is>
          <t>Gumroad direct sales fixed fee</t>
        </is>
      </c>
    </row>
    <row r="8">
      <c r="A8" s="5" t="inlineStr">
        <is>
          <t>Card processing percentage</t>
        </is>
      </c>
      <c r="B8" s="6" t="n">
        <v>0.029</v>
      </c>
      <c r="C8" s="5" t="inlineStr">
        <is>
          <t>Gumroad help page lists credit card processing separately</t>
        </is>
      </c>
    </row>
    <row r="9">
      <c r="A9" s="5" t="inlineStr">
        <is>
          <t>Card processing fixed fee</t>
        </is>
      </c>
      <c r="B9" s="9" t="n">
        <v>0.3</v>
      </c>
      <c r="C9" s="5" t="inlineStr">
        <is>
          <t>Gumroad help page lists credit card processing separately</t>
        </is>
      </c>
    </row>
    <row r="10">
      <c r="A10" s="5" t="inlineStr">
        <is>
          <t>Gumroad Discover fee</t>
        </is>
      </c>
      <c r="B10" s="6" t="n">
        <v>0.3</v>
      </c>
      <c r="C10" s="5" t="inlineStr">
        <is>
          <t>Gumroad Discover flat fee includes processing</t>
        </is>
      </c>
    </row>
    <row r="11">
      <c r="A11" s="5" t="inlineStr">
        <is>
          <t>Advertising budget</t>
        </is>
      </c>
      <c r="B11" s="6" t="n">
        <v>0</v>
      </c>
      <c r="C11" s="5" t="inlineStr">
        <is>
          <t>Approved recommendation for initial test</t>
        </is>
      </c>
    </row>
    <row r="12">
      <c r="A12" s="5" t="inlineStr">
        <is>
          <t>Optional Etsy listing fee</t>
        </is>
      </c>
      <c r="B12" s="6" t="n">
        <v>0.2</v>
      </c>
      <c r="C12" s="5" t="inlineStr">
        <is>
          <t>Not approved; included only for optional scenario</t>
        </is>
      </c>
    </row>
    <row r="13">
      <c r="A13" s="5" t="inlineStr">
        <is>
          <t>Optional domain estimate - low</t>
        </is>
      </c>
      <c r="B13" s="6" t="n">
        <v>10</v>
      </c>
      <c r="C13" s="5" t="inlineStr">
        <is>
          <t>Annual estimate; only if buying a domain now</t>
        </is>
      </c>
    </row>
    <row r="14">
      <c r="A14" s="5" t="inlineStr">
        <is>
          <t>Optional domain estimate - high</t>
        </is>
      </c>
      <c r="B14" s="6" t="n">
        <v>25</v>
      </c>
      <c r="C14" s="5" t="inlineStr">
        <is>
          <t>Annual estimate; only if buying a domain 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1" t="inlineStr">
        <is>
          <t>Per-Sale Economics</t>
        </is>
      </c>
      <c r="B1" s="2" t="n"/>
      <c r="C1" s="2" t="n"/>
    </row>
    <row r="2">
      <c r="A2" s="3" t="n"/>
      <c r="B2" s="3" t="n"/>
      <c r="C2" s="3" t="n"/>
    </row>
    <row r="3">
      <c r="A3" s="4" t="inlineStr">
        <is>
          <t>Line Item</t>
        </is>
      </c>
      <c r="B3" s="4" t="inlineStr">
        <is>
          <t>Gumroad Direct</t>
        </is>
      </c>
      <c r="C3" s="4" t="inlineStr">
        <is>
          <t>Gumroad Discover</t>
        </is>
      </c>
    </row>
    <row r="4">
      <c r="A4" s="5" t="inlineStr">
        <is>
          <t>Gross sale price</t>
        </is>
      </c>
      <c r="B4" s="6">
        <f>Assumptions!B4</f>
        <v/>
      </c>
      <c r="C4" s="6">
        <f>Assumptions!B4</f>
        <v/>
      </c>
    </row>
    <row r="5">
      <c r="A5" s="5" t="inlineStr">
        <is>
          <t>Gumroad platform fee</t>
        </is>
      </c>
      <c r="B5" s="6">
        <f>B4*Assumptions!B5</f>
        <v/>
      </c>
      <c r="C5" s="6">
        <f>C4*Assumptions!B9</f>
        <v/>
      </c>
    </row>
    <row r="6">
      <c r="A6" s="5" t="inlineStr">
        <is>
          <t>Gumroad fixed fee</t>
        </is>
      </c>
      <c r="B6" s="6">
        <f>Assumptions!B6</f>
        <v/>
      </c>
      <c r="C6" s="6">
        <f>0</f>
        <v/>
      </c>
    </row>
    <row r="7">
      <c r="A7" s="5" t="inlineStr">
        <is>
          <t>Card processing</t>
        </is>
      </c>
      <c r="B7" s="6">
        <f>B4*Assumptions!B7+Assumptions!B8</f>
        <v/>
      </c>
      <c r="C7" s="6">
        <f>0</f>
        <v/>
      </c>
    </row>
    <row r="8">
      <c r="A8" s="5" t="inlineStr">
        <is>
          <t>Total fees</t>
        </is>
      </c>
      <c r="B8" s="6">
        <f>SUM(B5:B7)</f>
        <v/>
      </c>
      <c r="C8" s="6">
        <f>SUM(C5:C7)</f>
        <v/>
      </c>
    </row>
    <row r="9">
      <c r="A9" s="5" t="inlineStr">
        <is>
          <t>Net before income taxes</t>
        </is>
      </c>
      <c r="B9" s="6">
        <f>B4-B8</f>
        <v/>
      </c>
      <c r="C9" s="6">
        <f>C4-C8</f>
        <v/>
      </c>
    </row>
    <row r="10">
      <c r="A10" s="5" t="inlineStr">
        <is>
          <t>Effective fee rate</t>
        </is>
      </c>
      <c r="B10" s="9">
        <f>B8/B4</f>
        <v/>
      </c>
      <c r="C10" s="9">
        <f>C8/C4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Bridge Target Scenarios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4" t="inlineStr">
        <is>
          <t>Monthly net target before income taxes</t>
        </is>
      </c>
      <c r="B3" s="4" t="inlineStr">
        <is>
          <t>Direct net per sale</t>
        </is>
      </c>
      <c r="C3" s="4" t="inlineStr">
        <is>
          <t>Direct sales needed</t>
        </is>
      </c>
      <c r="D3" s="4" t="inlineStr">
        <is>
          <t>Discover net per sale</t>
        </is>
      </c>
      <c r="E3" s="4" t="inlineStr">
        <is>
          <t>Discover sales needed</t>
        </is>
      </c>
    </row>
    <row r="4">
      <c r="A4" s="6" t="n">
        <v>2500</v>
      </c>
      <c r="B4" s="6">
        <f>'Per-Sale Economics'!B9</f>
        <v/>
      </c>
      <c r="C4" s="5">
        <f>ROUNDUP(A4/B4,0)</f>
        <v/>
      </c>
      <c r="D4" s="6">
        <f>'Per-Sale Economics'!C9</f>
        <v/>
      </c>
      <c r="E4" s="5">
        <f>ROUNDUP(A4/D4,0)</f>
        <v/>
      </c>
    </row>
    <row r="5">
      <c r="A5" s="6" t="n">
        <v>5000</v>
      </c>
      <c r="B5" s="6">
        <f>'Per-Sale Economics'!B9</f>
        <v/>
      </c>
      <c r="C5" s="5">
        <f>ROUNDUP(A5/B5,0)</f>
        <v/>
      </c>
      <c r="D5" s="6">
        <f>'Per-Sale Economics'!C9</f>
        <v/>
      </c>
      <c r="E5" s="5">
        <f>ROUNDUP(A5/D5,0)</f>
        <v/>
      </c>
    </row>
    <row r="6">
      <c r="A6" s="6" t="n">
        <v>10000</v>
      </c>
      <c r="B6" s="6">
        <f>'Per-Sale Economics'!B9</f>
        <v/>
      </c>
      <c r="C6" s="5">
        <f>ROUNDUP(A6/B6,0)</f>
        <v/>
      </c>
      <c r="D6" s="6">
        <f>'Per-Sale Economics'!C9</f>
        <v/>
      </c>
      <c r="E6" s="5">
        <f>ROUNDUP(A6/D6,0)</f>
        <v/>
      </c>
    </row>
    <row r="7">
      <c r="A7" s="6" t="n">
        <v>15000</v>
      </c>
      <c r="B7" s="6">
        <f>'Per-Sale Economics'!B9</f>
        <v/>
      </c>
      <c r="C7" s="5">
        <f>ROUNDUP(A7/B7,0)</f>
        <v/>
      </c>
      <c r="D7" s="6">
        <f>'Per-Sale Economics'!C9</f>
        <v/>
      </c>
      <c r="E7" s="5">
        <f>ROUNDUP(A7/D7,0)</f>
        <v/>
      </c>
    </row>
    <row r="8">
      <c r="A8" s="6" t="n">
        <v>20000</v>
      </c>
      <c r="B8" s="6">
        <f>'Per-Sale Economics'!B9</f>
        <v/>
      </c>
      <c r="C8" s="5">
        <f>ROUNDUP(A8/B8,0)</f>
        <v/>
      </c>
      <c r="D8" s="6">
        <f>'Per-Sale Economics'!C9</f>
        <v/>
      </c>
      <c r="E8" s="5">
        <f>ROUNDUP(A8/D8,0)</f>
        <v/>
      </c>
    </row>
    <row r="9">
      <c r="A9" s="6" t="n">
        <v>30000</v>
      </c>
      <c r="B9" s="6">
        <f>'Per-Sale Economics'!B9</f>
        <v/>
      </c>
      <c r="C9" s="5">
        <f>ROUNDUP(A9/B9,0)</f>
        <v/>
      </c>
      <c r="D9" s="6">
        <f>'Per-Sale Economics'!C9</f>
        <v/>
      </c>
      <c r="E9" s="5">
        <f>ROUNDUP(A9/D9,0)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58" customWidth="1" min="4" max="4"/>
  </cols>
  <sheetData>
    <row r="1">
      <c r="A1" s="1" t="inlineStr">
        <is>
          <t>Optional Costs And Status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4" t="inlineStr">
        <is>
          <t>Cost Item</t>
        </is>
      </c>
      <c r="B3" s="4" t="inlineStr">
        <is>
          <t>Estimated Cost</t>
        </is>
      </c>
      <c r="C3" s="4" t="inlineStr">
        <is>
          <t>Timing</t>
        </is>
      </c>
      <c r="D3" s="4" t="inlineStr">
        <is>
          <t>Status / Note</t>
        </is>
      </c>
    </row>
    <row r="4">
      <c r="A4" s="5" t="inlineStr">
        <is>
          <t>Gumroad monthly subscription</t>
        </is>
      </c>
      <c r="B4" s="6" t="n">
        <v>0</v>
      </c>
      <c r="C4" s="5" t="inlineStr">
        <is>
          <t>Monthly</t>
        </is>
      </c>
      <c r="D4" s="5" t="inlineStr">
        <is>
          <t>No monthly fee listed for standard direct sales</t>
        </is>
      </c>
    </row>
    <row r="5">
      <c r="A5" s="5" t="inlineStr">
        <is>
          <t>Initial advertising budget</t>
        </is>
      </c>
      <c r="B5" s="6" t="n">
        <v>0</v>
      </c>
      <c r="C5" s="5" t="inlineStr">
        <is>
          <t>Launch test</t>
        </is>
      </c>
      <c r="D5" s="5" t="inlineStr">
        <is>
          <t>Approved recommendation: no ad spend for first test</t>
        </is>
      </c>
    </row>
    <row r="6">
      <c r="A6" s="5" t="inlineStr">
        <is>
          <t>Domain</t>
        </is>
      </c>
      <c r="B6" s="5" t="inlineStr">
        <is>
          <t>10-25</t>
        </is>
      </c>
      <c r="C6" s="5" t="inlineStr">
        <is>
          <t>Annual</t>
        </is>
      </c>
      <c r="D6" s="5" t="inlineStr">
        <is>
          <t>Optional; only if buying a domain now</t>
        </is>
      </c>
    </row>
    <row r="7">
      <c r="A7" s="5" t="inlineStr">
        <is>
          <t>Etsy listing fee</t>
        </is>
      </c>
      <c r="B7" s="6" t="n">
        <v>0.2</v>
      </c>
      <c r="C7" s="5" t="inlineStr">
        <is>
          <t>Per listing</t>
        </is>
      </c>
      <c r="D7" s="5" t="inlineStr">
        <is>
          <t>Optional; not approved yet</t>
        </is>
      </c>
    </row>
    <row r="8">
      <c r="A8" s="5" t="inlineStr">
        <is>
          <t>Pinterest organic posting</t>
        </is>
      </c>
      <c r="B8" s="6" t="n">
        <v>0</v>
      </c>
      <c r="C8" s="5" t="inlineStr">
        <is>
          <t>Launch test</t>
        </is>
      </c>
      <c r="D8" s="5" t="inlineStr">
        <is>
          <t>No ad spend required</t>
        </is>
      </c>
    </row>
    <row r="9">
      <c r="A9" s="5" t="inlineStr">
        <is>
          <t>Pinterest ads</t>
        </is>
      </c>
      <c r="B9" s="5" t="inlineStr">
        <is>
          <t>TBD</t>
        </is>
      </c>
      <c r="C9" s="5" t="inlineStr">
        <is>
          <t>Optional</t>
        </is>
      </c>
      <c r="D9" s="5" t="inlineStr">
        <is>
          <t>Do not use without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78" customWidth="1" min="3" max="3"/>
  </cols>
  <sheetData>
    <row r="1">
      <c r="A1" s="1" t="inlineStr">
        <is>
          <t>Sources And Notes</t>
        </is>
      </c>
      <c r="B1" s="2" t="n"/>
      <c r="C1" s="2" t="n"/>
    </row>
    <row r="2">
      <c r="A2" s="3" t="n"/>
      <c r="B2" s="3" t="n"/>
      <c r="C2" s="3" t="n"/>
    </row>
    <row r="3">
      <c r="A3" s="4" t="inlineStr">
        <is>
          <t>Source</t>
        </is>
      </c>
      <c r="B3" s="4" t="inlineStr">
        <is>
          <t>URL</t>
        </is>
      </c>
      <c r="C3" s="4" t="inlineStr">
        <is>
          <t>Note</t>
        </is>
      </c>
    </row>
    <row r="4">
      <c r="A4" s="5" t="inlineStr">
        <is>
          <t>Gumroad fees</t>
        </is>
      </c>
      <c r="B4" s="5" t="inlineStr">
        <is>
          <t>https://gumroad.com/help/article/66-gumroads-fees</t>
        </is>
      </c>
      <c r="C4" s="5" t="inlineStr">
        <is>
          <t>Direct fee: 10% + $0.50 plus payment processing. Discover: 30% including processing.</t>
        </is>
      </c>
    </row>
    <row r="5">
      <c r="A5" s="5" t="inlineStr">
        <is>
          <t>Gumroad pricing</t>
        </is>
      </c>
      <c r="B5" s="5" t="inlineStr">
        <is>
          <t>https://gumroad.com/pricing</t>
        </is>
      </c>
      <c r="C5" s="5" t="inlineStr">
        <is>
          <t>No monthly fee; merchant of record language.</t>
        </is>
      </c>
    </row>
    <row r="6">
      <c r="A6" s="5" t="inlineStr">
        <is>
          <t>Etsy seller fees</t>
        </is>
      </c>
      <c r="B6" s="5" t="inlineStr">
        <is>
          <t>https://help.etsy.com/hc/en-us/articles/115014483627-What-are-the-Fees-and-Taxes-for-Selling-on-Etsy</t>
        </is>
      </c>
      <c r="C6" s="5" t="inlineStr">
        <is>
          <t>Listing, transaction, payment processing, and optional ad fee categories.</t>
        </is>
      </c>
    </row>
    <row r="7">
      <c r="A7" s="5" t="inlineStr">
        <is>
          <t>Pinterest budgets</t>
        </is>
      </c>
      <c r="B7" s="5" t="inlineStr">
        <is>
          <t>https://help.pinterest.com/en/business/article/set-up-campaign-budgets</t>
        </is>
      </c>
      <c r="C7" s="5" t="inlineStr">
        <is>
          <t>Ad budgets are optional; organic posting does not require ad spend.</t>
        </is>
      </c>
    </row>
    <row r="8">
      <c r="A8" s="5" t="inlineStr">
        <is>
          <t>Important boundary</t>
        </is>
      </c>
      <c r="B8" s="5" t="inlineStr"/>
      <c r="C8" s="5" t="inlineStr">
        <is>
          <t>This workbook estimates launch-test economics. It is not a sales forecast, accounting advice, tax advice, or a cash-flow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2026-09-12T15:17:59Z</dcterms:created>
  <dcterms:modified xmlns:dcterms="http://purl.org/dc/terms/" xmlns:xsi="http://www.w3.org/2001/XMLSchema-instance" xsi:type="dcterms:W3CDTF">2026-09-12T15:17:59Z</dcterms:modified>
</cp:coreProperties>
</file>