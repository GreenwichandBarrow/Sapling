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60" yWindow="760" windowWidth="27640" windowHeight="16900" tabRatio="600" firstSheet="0" activeTab="0" autoFilterDateGrouping="1"/>
  </bookViews>
  <sheets>
    <sheet xmlns:r="http://schemas.openxmlformats.org/officeDocument/2006/relationships" name="INITIAL SCREEN" sheetId="1" state="visible" r:id="rId1"/>
    <sheet xmlns:r="http://schemas.openxmlformats.org/officeDocument/2006/relationships" name="Industry Scorecard" sheetId="2" state="visible" r:id="rId2"/>
    <sheet xmlns:r="http://schemas.openxmlformats.org/officeDocument/2006/relationships" name="Evidence &amp; Assumptions" sheetId="3" state="visible" r:id="rId3"/>
  </sheets>
  <definedNames>
    <definedName name="_bdm.8018492968a5442495f20d90ab0edcf5.edm" hidden="1">#REF!</definedName>
    <definedName name="_bdm.FastTrackBookmark.10_31_2020_1_08_13_PM.edm" hidden="1">#REF!</definedName>
    <definedName name="_bdm.8018492968a5442495f20d90ab0edcf5.edm" localSheetId="1" hidden="1">TEMPLATE!$1:$1048576</definedName>
    <definedName name="_bdm.f13a6b620fec4e82afc4fa1e28cf992f.edm" localSheetId="1" hidden="1">TEMPLATE!#REF!</definedName>
    <definedName name="_bdm.FastTrackBookmark.10_31_2020_1_08_13_PM.edm" localSheetId="1" hidden="1">TEMPLATE!$C$8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_);\(#,##0.00\);#,##0.00_);@_)"/>
    <numFmt numFmtId="166" formatCode="#,##0_);\(#,##0\);#,##0_);@_)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color theme="0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FF"/>
      <sz val="10"/>
    </font>
    <font>
      <name val="Calibri"/>
      <family val="2"/>
      <color rgb="FF0000FF"/>
      <sz val="10"/>
    </font>
    <font>
      <name val="Calibri"/>
      <family val="2"/>
      <i val="1"/>
      <color theme="1"/>
      <sz val="8"/>
    </font>
    <font>
      <b val="1"/>
      <sz val="14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0499893185216834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ashed">
        <color rgb="FF000000"/>
      </right>
      <top/>
      <bottom style="thin">
        <color indexed="64"/>
      </bottom>
      <diagonal/>
    </border>
  </borders>
  <cellStyleXfs count="5">
    <xf numFmtId="0" fontId="1" fillId="0" borderId="0"/>
    <xf numFmtId="9" fontId="1" fillId="0" borderId="0"/>
    <xf numFmtId="0" fontId="2" fillId="0" borderId="0"/>
    <xf numFmtId="9" fontId="1" fillId="0" borderId="0"/>
    <xf numFmtId="0" fontId="11" fillId="0" borderId="0"/>
  </cellStyleXfs>
  <cellXfs count="68">
    <xf numFmtId="0" fontId="0" fillId="0" borderId="0" pivotButton="0" quotePrefix="0" xfId="0"/>
    <xf numFmtId="9" fontId="2" fillId="0" borderId="0" applyAlignment="1" pivotButton="0" quotePrefix="0" xfId="1">
      <alignment horizontal="center" vertical="top"/>
    </xf>
    <xf numFmtId="0" fontId="2" fillId="0" borderId="0" pivotButton="0" quotePrefix="0" xfId="2"/>
    <xf numFmtId="9" fontId="2" fillId="0" borderId="0" pivotButton="0" quotePrefix="0" xfId="2"/>
    <xf numFmtId="0" fontId="5" fillId="0" borderId="5" pivotButton="0" quotePrefix="0" xfId="2"/>
    <xf numFmtId="16" fontId="5" fillId="0" borderId="0" applyAlignment="1" pivotButton="0" quotePrefix="1" xfId="2">
      <alignment horizontal="center"/>
    </xf>
    <xf numFmtId="9" fontId="5" fillId="0" borderId="0" applyAlignment="1" pivotButton="0" quotePrefix="1" xfId="1">
      <alignment horizontal="center" vertical="top"/>
    </xf>
    <xf numFmtId="9" fontId="5" fillId="0" borderId="6" applyAlignment="1" pivotButton="0" quotePrefix="1" xfId="1">
      <alignment horizontal="center" vertical="top"/>
    </xf>
    <xf numFmtId="0" fontId="2" fillId="0" borderId="0" applyAlignment="1" pivotButton="0" quotePrefix="0" xfId="2">
      <alignment horizontal="center"/>
    </xf>
    <xf numFmtId="0" fontId="2" fillId="0" borderId="6" pivotButton="0" quotePrefix="0" xfId="2"/>
    <xf numFmtId="0" fontId="2" fillId="0" borderId="5" applyAlignment="1" pivotButton="0" quotePrefix="1" xfId="2">
      <alignment horizontal="left" indent="1"/>
    </xf>
    <xf numFmtId="0" fontId="2" fillId="0" borderId="7" applyAlignment="1" pivotButton="0" quotePrefix="1" xfId="2">
      <alignment horizontal="left" indent="1"/>
    </xf>
    <xf numFmtId="0" fontId="2" fillId="0" borderId="8" pivotButton="0" quotePrefix="0" xfId="2"/>
    <xf numFmtId="0" fontId="2" fillId="0" borderId="9" pivotButton="0" quotePrefix="0" xfId="2"/>
    <xf numFmtId="0" fontId="5" fillId="0" borderId="10" pivotButton="0" quotePrefix="0" xfId="2"/>
    <xf numFmtId="9" fontId="5" fillId="0" borderId="0" applyAlignment="1" pivotButton="0" quotePrefix="0" xfId="2">
      <alignment horizontal="center"/>
    </xf>
    <xf numFmtId="0" fontId="2" fillId="0" borderId="11" pivotButton="0" quotePrefix="0" xfId="2"/>
    <xf numFmtId="0" fontId="2" fillId="0" borderId="12" pivotButton="0" quotePrefix="0" xfId="2"/>
    <xf numFmtId="0" fontId="5" fillId="0" borderId="11" pivotButton="0" quotePrefix="0" xfId="2"/>
    <xf numFmtId="0" fontId="2" fillId="0" borderId="14" applyAlignment="1" pivotButton="0" quotePrefix="1" xfId="2">
      <alignment horizontal="left" indent="1"/>
    </xf>
    <xf numFmtId="0" fontId="2" fillId="0" borderId="15" pivotButton="0" quotePrefix="0" xfId="2"/>
    <xf numFmtId="0" fontId="2" fillId="0" borderId="16" pivotButton="0" quotePrefix="0" xfId="2"/>
    <xf numFmtId="9" fontId="5" fillId="0" borderId="19" applyAlignment="1" pivotButton="0" quotePrefix="1" xfId="1">
      <alignment horizontal="center" vertical="top"/>
    </xf>
    <xf numFmtId="0" fontId="2" fillId="0" borderId="19" pivotButton="0" quotePrefix="0" xfId="2"/>
    <xf numFmtId="0" fontId="2" fillId="0" borderId="13" pivotButton="0" quotePrefix="0" xfId="2"/>
    <xf numFmtId="0" fontId="2" fillId="0" borderId="18" pivotButton="0" quotePrefix="0" xfId="2"/>
    <xf numFmtId="0" fontId="2" fillId="0" borderId="5" pivotButton="0" quotePrefix="0" xfId="2"/>
    <xf numFmtId="9" fontId="7" fillId="0" borderId="0" applyAlignment="1" pivotButton="0" quotePrefix="0" xfId="2">
      <alignment horizontal="center"/>
    </xf>
    <xf numFmtId="0" fontId="2" fillId="2" borderId="0" pivotButton="0" quotePrefix="0" xfId="2"/>
    <xf numFmtId="0" fontId="3" fillId="2" borderId="0" pivotButton="0" quotePrefix="0" xfId="2"/>
    <xf numFmtId="0" fontId="3" fillId="2" borderId="0" applyAlignment="1" pivotButton="0" quotePrefix="0" xfId="2">
      <alignment horizontal="right"/>
    </xf>
    <xf numFmtId="164" fontId="3" fillId="2" borderId="0" applyAlignment="1" pivotButton="0" quotePrefix="0" xfId="1">
      <alignment horizontal="center" vertical="top"/>
    </xf>
    <xf numFmtId="165" fontId="3" fillId="2" borderId="0" applyAlignment="1" pivotButton="0" quotePrefix="0" xfId="1">
      <alignment horizontal="center" vertical="top"/>
    </xf>
    <xf numFmtId="0" fontId="4" fillId="2" borderId="0" pivotButton="0" quotePrefix="0" xfId="2"/>
    <xf numFmtId="166" fontId="3" fillId="2" borderId="0" applyAlignment="1" pivotButton="0" quotePrefix="0" xfId="1">
      <alignment horizontal="center" vertical="top"/>
    </xf>
    <xf numFmtId="0" fontId="3" fillId="2" borderId="3" pivotButton="0" quotePrefix="0" xfId="2"/>
    <xf numFmtId="0" fontId="3" fillId="2" borderId="1" applyAlignment="1" pivotButton="0" quotePrefix="0" xfId="2">
      <alignment horizontal="center"/>
    </xf>
    <xf numFmtId="9" fontId="3" fillId="2" borderId="1" applyAlignment="1" pivotButton="0" quotePrefix="0" xfId="1">
      <alignment horizontal="center"/>
    </xf>
    <xf numFmtId="9" fontId="3" fillId="2" borderId="1" pivotButton="0" quotePrefix="0" xfId="1"/>
    <xf numFmtId="9" fontId="3" fillId="2" borderId="4" pivotButton="0" quotePrefix="0" xfId="1"/>
    <xf numFmtId="0" fontId="3" fillId="2" borderId="17" applyAlignment="1" pivotButton="0" quotePrefix="0" xfId="2">
      <alignment horizontal="center"/>
    </xf>
    <xf numFmtId="0" fontId="3" fillId="2" borderId="7" pivotButton="0" quotePrefix="0" xfId="2"/>
    <xf numFmtId="16" fontId="3" fillId="2" borderId="8" applyAlignment="1" pivotButton="0" quotePrefix="1" xfId="2">
      <alignment horizontal="center"/>
    </xf>
    <xf numFmtId="9" fontId="3" fillId="2" borderId="8" applyAlignment="1" pivotButton="0" quotePrefix="0" xfId="1">
      <alignment horizontal="center"/>
    </xf>
    <xf numFmtId="9" fontId="3" fillId="2" borderId="8" applyAlignment="1" pivotButton="0" quotePrefix="1" xfId="1">
      <alignment horizontal="center"/>
    </xf>
    <xf numFmtId="9" fontId="3" fillId="2" borderId="9" applyAlignment="1" pivotButton="0" quotePrefix="1" xfId="1">
      <alignment horizontal="center"/>
    </xf>
    <xf numFmtId="9" fontId="3" fillId="2" borderId="18" applyAlignment="1" pivotButton="0" quotePrefix="1" xfId="1">
      <alignment horizontal="center"/>
    </xf>
    <xf numFmtId="0" fontId="6" fillId="3" borderId="2" applyAlignment="1" pivotButton="0" quotePrefix="0" xfId="2">
      <alignment horizontal="center"/>
    </xf>
    <xf numFmtId="0" fontId="7" fillId="3" borderId="2" applyAlignment="1" pivotButton="0" quotePrefix="0" xfId="2">
      <alignment horizontal="center"/>
    </xf>
    <xf numFmtId="2" fontId="6" fillId="3" borderId="2" applyAlignment="1" pivotButton="0" quotePrefix="0" xfId="2">
      <alignment horizontal="center"/>
    </xf>
    <xf numFmtId="2" fontId="2" fillId="0" borderId="0" pivotButton="0" quotePrefix="0" xfId="2"/>
    <xf numFmtId="2" fontId="2" fillId="0" borderId="15" pivotButton="0" quotePrefix="0" xfId="2"/>
    <xf numFmtId="2" fontId="2" fillId="0" borderId="8" pivotButton="0" quotePrefix="0" xfId="2"/>
    <xf numFmtId="0" fontId="2" fillId="0" borderId="5" applyAlignment="1" pivotButton="0" quotePrefix="0" xfId="2">
      <alignment wrapText="1"/>
    </xf>
    <xf numFmtId="9" fontId="5" fillId="0" borderId="0" applyAlignment="1" pivotButton="0" quotePrefix="0" xfId="3">
      <alignment horizontal="center" vertical="top"/>
    </xf>
    <xf numFmtId="9" fontId="5" fillId="0" borderId="0" applyAlignment="1" pivotButton="0" quotePrefix="1" xfId="3">
      <alignment horizontal="center" vertical="top"/>
    </xf>
    <xf numFmtId="0" fontId="4" fillId="0" borderId="0" pivotButton="0" quotePrefix="0" xfId="2"/>
    <xf numFmtId="0" fontId="4" fillId="0" borderId="20" pivotButton="0" quotePrefix="0" xfId="2"/>
    <xf numFmtId="0" fontId="3" fillId="2" borderId="4" applyAlignment="1" pivotButton="0" quotePrefix="0" xfId="2">
      <alignment horizontal="center"/>
    </xf>
    <xf numFmtId="0" fontId="0" fillId="0" borderId="1" pivotButton="0" quotePrefix="0" xfId="0"/>
    <xf numFmtId="0" fontId="0" fillId="0" borderId="4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19" applyAlignment="1" pivotButton="0" quotePrefix="0" xfId="2">
      <alignment vertical="top" wrapText="1"/>
    </xf>
    <xf numFmtId="0" fontId="2" fillId="0" borderId="13" applyAlignment="1" pivotButton="0" quotePrefix="0" xfId="2">
      <alignment vertical="top" wrapText="1"/>
    </xf>
    <xf numFmtId="0" fontId="2" fillId="0" borderId="18" applyAlignment="1" pivotButton="0" quotePrefix="0" xfId="2">
      <alignment vertical="top" wrapText="1"/>
    </xf>
    <xf numFmtId="0" fontId="0" fillId="0" borderId="0" applyAlignment="1" pivotButton="0" quotePrefix="0" xfId="0">
      <alignment vertical="top" wrapText="1"/>
    </xf>
    <xf numFmtId="0" fontId="11" fillId="0" borderId="0" applyAlignment="1" pivotButton="0" quotePrefix="0" xfId="4">
      <alignment vertical="top" wrapText="1"/>
    </xf>
  </cellXfs>
  <cellStyles count="5">
    <cellStyle name="Normal" xfId="0" builtinId="0"/>
    <cellStyle name="Percent" xfId="1" builtinId="5"/>
    <cellStyle name="Normal 2" xfId="2"/>
    <cellStyle name="Percent 2" xfId="3"/>
    <cellStyle name="Hyperlink" xfId="4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https://netadev.netaworld.org/accreditation/overview" TargetMode="External" Id="rId1"/><Relationship Type="http://schemas.openxmlformats.org/officeDocument/2006/relationships/hyperlink" Target="https://netaworldjournal.org/wp-content/uploads/2026/04/NWJ-spring-2026.pdf" TargetMode="External" Id="rId2"/><Relationship Type="http://schemas.openxmlformats.org/officeDocument/2006/relationships/hyperlink" Target="https://netaworldjournal.org/wp-content/uploads/2026/05/NETA-World-SM26_FINAL.pdf" TargetMode="External" Id="rId3"/><Relationship Type="http://schemas.openxmlformats.org/officeDocument/2006/relationships/hyperlink" Target="https://netaworldjournal.org/wp-content/uploads/2025/11/NETA-World_FL25.pdf" TargetMode="External" Id="rId4"/><Relationship Type="http://schemas.openxmlformats.org/officeDocument/2006/relationships/hyperlink" Target="https://afelectricaltesting.com/" TargetMode="External" Id="rId5"/><Relationship Type="http://schemas.openxmlformats.org/officeDocument/2006/relationships/hyperlink" Target="https://www.apparatustesting.com/" TargetMode="External" Id="rId6"/><Relationship Type="http://schemas.openxmlformats.org/officeDocument/2006/relationships/hyperlink" Target="https://www.highvolt.com/en/ats" TargetMode="External" Id="rId7"/><Relationship Type="http://schemas.openxmlformats.org/officeDocument/2006/relationships/hyperlink" Target="https://www.gryphon-inv.com/news/gryphon-investors-to-sell-shermco-to-blackstone-in-1-6-billion-transaction/" TargetMode="External" Id="rId8"/><Relationship Type="http://schemas.openxmlformats.org/officeDocument/2006/relationships/hyperlink" Target="https://www.eia.gov/todayinenergy/detail.php?id=67344" TargetMode="External" Id="rId9"/><Relationship Type="http://schemas.openxmlformats.org/officeDocument/2006/relationships/hyperlink" Target="https://www.expertmarketresearch.com/reports/north-america-electrical-testing-services-market" TargetMode="External" Id="rId10"/><Relationship Type="http://schemas.openxmlformats.org/officeDocument/2006/relationships/hyperlink" Target="https://mail.google.com/mail/u/0/#all/1a01bd7b7605d215" TargetMode="External" Id="rId11"/><Relationship Type="http://schemas.openxmlformats.org/officeDocument/2006/relationships/hyperlink" Target="brain/traces/agents/2026-09-07-niche-intelligence.md" TargetMode="External" Id="rId12"/><Relationship Type="http://schemas.openxmlformats.org/officeDocument/2006/relationships/hyperlink" Target="/tmp/niche-intel-2026-09-07-historical/hist-email.md" TargetMode="External" Id="rId13"/><Relationship Type="http://schemas.openxmlformats.org/officeDocument/2006/relationships/hyperlink" Target="/tmp/niche-intel-2026-09-07-identified.json" TargetMode="External" Id="rId14"/><Relationship Type="http://schemas.openxmlformats.org/officeDocument/2006/relationships/hyperlink" Target="/tmp/niche-intel-2026-09-07-deliverables/electrical-power-reliability-testing/prior-sept1.pptx" TargetMode="External" Id="rId15"/><Relationship Type="http://schemas.openxmlformats.org/officeDocument/2006/relationships/hyperlink" Target=".agents/skills/niche-intelligence/references/one-pager-template.md" TargetMode="External" Id="rId16"/><Relationship Type="http://schemas.openxmlformats.org/officeDocument/2006/relationships/hyperlink" Target="brain/library/internal/one-pager-template/customs-bonds-template.pptx" TargetMode="External" Id="rId17"/><Relationship Type="http://schemas.openxmlformats.org/officeDocument/2006/relationships/hyperlink" Target="https://docs.google.com/spreadsheets/d/1vHx4E1tRTR6V3k7NQeHdCrUjDITJVtZA5YPSIFeSins/edit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15"/>
  <sheetViews>
    <sheetView workbookViewId="0">
      <selection activeCell="A1" sqref="A1"/>
    </sheetView>
  </sheetViews>
  <sheetFormatPr baseColWidth="8" defaultRowHeight="15"/>
  <cols>
    <col width="45" customWidth="1" min="2" max="2"/>
    <col width="12" customWidth="1" min="3" max="3"/>
    <col width="55" customWidth="1" min="4" max="4"/>
    <col width="30" customWidth="1" min="5" max="5"/>
  </cols>
  <sheetData>
    <row r="3">
      <c r="B3" s="61" t="inlineStr">
        <is>
          <t>Independent Electrical Power-System Testing and Preventive Reliability Services for Commercial and Industrial Facilities</t>
        </is>
      </c>
    </row>
    <row r="5">
      <c r="B5" s="62" t="inlineStr">
        <is>
          <t>Initial Screen</t>
        </is>
      </c>
      <c r="C5" s="62" t="inlineStr">
        <is>
          <t>Pass/Fail</t>
        </is>
      </c>
      <c r="D5" s="62" t="inlineStr">
        <is>
          <t>Criteria</t>
        </is>
      </c>
      <c r="E5" s="62" t="inlineStr">
        <is>
          <t>Notes</t>
        </is>
      </c>
    </row>
    <row r="6">
      <c r="B6" t="inlineStr">
        <is>
          <t>Margins</t>
        </is>
      </c>
      <c r="C6" t="inlineStr">
        <is>
          <t>UNKNOWN</t>
        </is>
      </c>
      <c r="D6" t="inlineStr">
        <is>
          <t>15%+ EBITDA margins required</t>
        </is>
      </c>
      <c r="E6" t="inlineStr">
        <is>
          <t>Single teaser implies57.4% normalized EBITDA, exceptional/unverified. No typical-industry15%+ proof.</t>
        </is>
      </c>
    </row>
    <row r="7">
      <c r="B7" t="inlineStr">
        <is>
          <t>Recurring Revenue</t>
        </is>
      </c>
      <c r="C7" t="inlineStr">
        <is>
          <t>PASS_MODEL_ONLY</t>
        </is>
      </c>
      <c r="D7" t="inlineStr">
        <is>
          <t>Existing recurring/contractual revenue or clear path to convert</t>
        </is>
      </c>
      <c r="E7" t="inlineStr">
        <is>
          <t>NETA explicitly describes routine testing/maintenance; A&amp;F/Apparatus recurring programs. Actual contracted-share and renewal data unknown.</t>
        </is>
      </c>
    </row>
    <row r="8">
      <c r="B8" t="inlineStr">
        <is>
          <t>Industry Growth</t>
        </is>
      </c>
      <c r="C8" t="inlineStr">
        <is>
          <t>PROXY_SUPPORT_ONLY</t>
        </is>
      </c>
      <c r="D8" t="inlineStr">
        <is>
          <t>Growth rate above GDP (~3%+)</t>
        </is>
      </c>
      <c r="E8" t="inlineStr">
        <is>
          <t>EMR North America electrical testing6.5% forecast; includes broader geography/end-users, not measured niche growth.</t>
        </is>
      </c>
    </row>
    <row r="9">
      <c r="B9" t="inlineStr">
        <is>
          <t>Growth TAM</t>
        </is>
      </c>
      <c r="C9" t="inlineStr">
        <is>
          <t>PROXY_SUPPORT_ONLY</t>
        </is>
      </c>
      <c r="D9" t="inlineStr">
        <is>
          <t>$500M+ total addressable market (investor floor)</t>
        </is>
      </c>
      <c r="E9" t="inlineStr">
        <is>
          <t>EMR North America broader electrical testing$2.66B2025; exact US C&amp;I preventive-service TAM not carved out.</t>
        </is>
      </c>
    </row>
    <row r="11">
      <c r="B11" s="62" t="inlineStr">
        <is>
          <t>VERDICT</t>
        </is>
      </c>
      <c r="C11" t="inlineStr">
        <is>
          <t>INCOMPLETE</t>
        </is>
      </c>
      <c r="D11" t="inlineStr">
        <is>
          <t>Scored for analyst reference; no approval or activation gate passed</t>
        </is>
      </c>
      <c r="E11" t="inlineStr">
        <is>
          <t>INCOMPLETE; promising growth/TAM proxy, no all-four pass</t>
        </is>
      </c>
    </row>
    <row r="13">
      <c r="B13" s="62" t="inlineStr">
        <is>
          <t>Target TAM (informational — not scored)</t>
        </is>
      </c>
    </row>
    <row r="14">
      <c r="B14" t="inlineStr">
        <is>
          <t>Number of independently owned acquisition candidates</t>
        </is>
      </c>
      <c r="C14" t="inlineStr">
        <is>
          <t>UNKNOWN</t>
        </is>
      </c>
      <c r="D14" t="inlineStr">
        <is>
          <t>Determines sprint duration, not go/no-go</t>
        </is>
      </c>
      <c r="E14" t="inlineStr">
        <is>
          <t>Unknown. NETA third-party independence means independence from equipment/manufacturing conflicts, not absence of PE. A&amp;F describes independent company but equity and scale unverified.</t>
        </is>
      </c>
    </row>
    <row r="15">
      <c r="B15" t="inlineStr">
        <is>
          <t>Sprint duration estimate</t>
        </is>
      </c>
      <c r="C15" t="inlineStr">
        <is>
          <t>Unassigned</t>
        </is>
      </c>
      <c r="D15" t="inlineStr">
        <is>
          <t>50+ = long sprint | 20-50 = focused | 10-20 = fast | &lt;10 = very fast</t>
        </is>
      </c>
      <c r="E15" t="inlineStr">
        <is>
          <t>Target TAM informational and unscored.</t>
        </is>
      </c>
    </row>
  </sheetData>
  <pageMargins left="0.75" right="0.75" top="1" bottom="1" header="0.5" footer="0.5"/>
</worksheet>
</file>

<file path=xl/worksheets/sheet2.xml><?xml version="1.0" encoding="utf-8"?>
<ns0:worksheet xmlns:ns0="http://schemas.openxmlformats.org/spreadsheetml/2006/main">
  <ns0:sheetPr>
    <ns0:tabColor theme="0"/>
    <ns0:outlinePr summaryBelow="1" summaryRight="1"/>
    <ns0:pageSetUpPr/>
  </ns0:sheetPr>
  <ns0:dimension ref="B2:J44"/>
  <ns0:sheetViews>
    <ns0:sheetView showGridLines="0" tabSelected="1" topLeftCell="A44" zoomScale="170" zoomScaleNormal="170" workbookViewId="0">
      <ns0:selection activeCell="B27" sqref="B27"/>
    </ns0:sheetView>
  </ns0:sheetViews>
  <ns0:sheetFormatPr baseColWidth="10" defaultColWidth="8.83203125" defaultRowHeight="14"/>
  <ns0:cols>
    <ns0:col width="1.33203125" customWidth="1" style="2" min="1" max="1"/>
    <ns0:col width="47.33203125" customWidth="1" style="2" min="2" max="2"/>
    <ns0:col outlineLevel="1" width="11.83203125" customWidth="1" style="2" min="3" max="4"/>
    <ns0:col outlineLevel="1" width="8.33203125" customWidth="1" style="2" min="5" max="5"/>
    <ns0:col width="3.1640625" bestFit="1" customWidth="1" style="2" min="6" max="6"/>
    <ns0:col outlineLevel="1" width="25.6640625" customWidth="1" style="2" min="7" max="7"/>
    <ns0:col outlineLevel="1" width="32" customWidth="1" style="2" min="8" max="8"/>
    <ns0:col outlineLevel="1" width="23" customWidth="1" style="2" min="9" max="9"/>
    <ns0:col width="32.1640625" customWidth="1" style="2" min="10" max="10"/>
    <ns0:col width="8.83203125" customWidth="1" style="2" min="11" max="11"/>
    <ns0:col width="8.83203125" customWidth="1" style="2" min="12" max="16384"/>
  </ns0:cols>
  <ns0:sheetData>
    <ns0:row r="1" customFormat="1" s="28"/>
    <ns0:row r="2" customFormat="1" s="28">
      <ns0:c r="B2" s="29" t="n"/>
      <ns0:c r="C2" s="30" t="n"/>
      <ns0:c r="D2" s="31" t="n"/>
      <ns0:c r="E2" s="31" t="n"/>
      <ns0:c r="F2" s="31" t="n"/>
      <ns0:c r="G2" s="32" t="n"/>
      <ns0:c r="H2" s="32" t="n"/>
      <ns0:c r="I2" s="30" t="n"/>
    </ns0:row>
    <ns0:row r="3" customFormat="1" s="28">
      <ns0:c r="B3" s="33" t="inlineStr">
        <ns0:is>
          <ns0:t>Independent Electrical Power-System Testing and Preventive Reliability Services for Commercial and Industrial Facilities</ns0:t>
        </ns0:is>
      </ns0:c>
      <ns0:c r="C3" s="30" t="n"/>
      <ns0:c r="D3" s="34" t="n"/>
      <ns0:c r="E3" s="34" t="n"/>
      <ns0:c r="F3" s="34" t="n"/>
      <ns0:c r="G3" s="32" t="n"/>
      <ns0:c r="H3" s="32" t="n"/>
      <ns0:c r="I3" s="30" t="n"/>
    </ns0:row>
    <ns0:row r="4" ht="6" customHeight="1">
      <ns0:c r="D4" s="1" t="n"/>
      <ns0:c r="E4" s="1" t="n"/>
      <ns0:c r="F4" s="1" t="n"/>
      <ns0:c r="G4" s="1" t="n"/>
      <ns0:c r="H4" s="1" t="n"/>
    </ns0:row>
    <ns0:row r="5" ht="14.5" customHeight="1">
      <ns0:c r="B5" s="35" t="inlineStr">
        <ns0:is>
          <ns0:t>XX  Industry Scorecard</ns0:t>
        </ns0:is>
      </ns0:c>
      <ns0:c r="C5" s="36" t="inlineStr">
        <ns0:is>
          <ns0:t>Score</ns0:t>
        </ns0:is>
      </ns0:c>
      <ns0:c r="D5" s="37" t="inlineStr">
        <ns0:is>
          <ns0:t>Weight</ns0:t>
        </ns0:is>
      </ns0:c>
      <ns0:c r="E5" s="38" t="inlineStr">
        <ns0:is>
          <ns0:t>Evaluation</ns0:t>
        </ns0:is>
      </ns0:c>
      <ns0:c r="F5" s="39" t="n"/>
      <ns0:c r="G5" s="58" t="inlineStr">
        <ns0:is>
          <ns0:t>Criteria for Evaluation</ns0:t>
        </ns0:is>
      </ns0:c>
      <ns0:c r="H5" s="59" t="n"/>
      <ns0:c r="I5" s="60" t="n"/>
      <ns0:c r="J5" s="40" t="inlineStr">
        <ns0:is>
          <ns0:t>General Commentary / Supporting Data</ns0:t>
        </ns0:is>
      </ns0:c>
    </ns0:row>
    <ns0:row r="6">
      <ns0:c r="B6" s="41" t="n"/>
      <ns0:c r="C6" s="42" t="inlineStr">
        <ns0:is>
          <ns0:t>(1-3)</ns0:t>
        </ns0:is>
      </ns0:c>
      <ns0:c r="D6" s="43" t="inlineStr">
        <ns0:is>
          <ns0:t>(%)</ns0:t>
        </ns0:is>
      </ns0:c>
      <ns0:c r="E6" s="44" t="inlineStr">
        <ns0:is>
          <ns0:t>+/-</ns0:t>
        </ns0:is>
      </ns0:c>
      <ns0:c r="F6" s="45" t="n"/>
      <ns0:c r="G6" s="44" t="inlineStr">
        <ns0:is>
          <ns0:t>+</ns0:t>
        </ns0:is>
      </ns0:c>
      <ns0:c r="H6" s="44" t="inlineStr">
        <ns0:is>
          <ns0:t>+/-</ns0:t>
        </ns0:is>
      </ns0:c>
      <ns0:c r="I6" s="45" t="inlineStr">
        <ns0:is>
          <ns0:t>-</ns0:t>
        </ns0:is>
      </ns0:c>
      <ns0:c r="J6" s="46" t="n"/>
    </ns0:row>
    <ns0:row r="7" ht="6" customHeight="1">
      <ns0:c r="B7" s="4" t="n"/>
      <ns0:c r="C7" s="5" t="n"/>
      <ns0:c r="D7" s="54" t="n"/>
      <ns0:c r="E7" s="55" t="n"/>
      <ns0:c r="F7" s="7" t="n"/>
      <ns0:c r="G7" s="6" t="n"/>
      <ns0:c r="H7" s="6" t="n"/>
      <ns0:c r="I7" s="7" t="n"/>
      <ns0:c r="J7" s="22" t="n"/>
    </ns0:row>
    <ns0:row r="8">
      <ns0:c r="B8" s="4" t="inlineStr">
        <ns0:is>
          <ns0:t>Growth, Penetration and Catalyst</ns0:t>
        </ns0:is>
      </ns0:c>
      <ns0:c r="C8" s="49">
        <ns0:f>AVERAGE(D9:D12)</ns0:f>
        <ns0:v>2.25</ns0:v>
      </ns0:c>
      <ns0:c r="D8" s="15" t="n">
        <ns0:v>0.25</ns0:v>
      </ns0:c>
      <ns0:c r="E8" s="8" t="n"/>
      <ns0:c r="F8" s="9" t="n"/>
      <ns0:c r="I8" s="9" t="n"/>
      <ns0:c r="J8" s="23" t="n"/>
    </ns0:row>
    <ns0:row r="9" ht="65" customHeight="1">
      <ns0:c r="B9" s="10" t="inlineStr">
        <ns0:is>
          <ns0:t>- Growth relative to GDP (5 yr CAGR)</ns0:t>
        </ns0:is>
      </ns0:c>
      <ns0:c r="C9" s="50" t="n"/>
      <ns0:c r="D9" s="56" t="n">
        <ns0:v>2</ns0:v>
      </ns0:c>
      <ns0:c r="E9" s="48" t="inlineStr">
        <ns0:is>
          <ns0:t>+/-</ns0:t>
        </ns0:is>
      </ns0:c>
      <ns0:c r="F9" s="9" t="n"/>
      <ns0:c r="G9" s="2" t="inlineStr">
        <ns0:is>
          <ns0:t>&gt;3x GDP growth</ns0:t>
        </ns0:is>
      </ns0:c>
      <ns0:c r="H9" s="2" t="inlineStr">
        <ns0:is>
          <ns0:t>1-3x GDP growth</ns0:t>
        </ns0:is>
      </ns0:c>
      <ns0:c r="I9" s="9" t="inlineStr">
        <ns0:is>
          <ns0:t>Growth with GDP or below</ns0:t>
        </ns0:is>
      </ns0:c>
      <ns0:c r="J9" s="63" t="inlineStr">
        <ns0:is>
          <ns0:t>North American broader testing proxy 6.5% CAGR; exact US niche unknown; provisional mid-band. Sources and evidence scope: Evidence &amp; Assumptions tab.</ns0:t>
        </ns0:is>
      </ns0:c>
    </ns0:row>
    <ns0:row r="10" ht="65" customHeight="1">
      <ns0:c r="B10" s="10" t="inlineStr">
        <ns0:is>
          <ns0:t>- Industry penetration</ns0:t>
        </ns0:is>
      </ns0:c>
      <ns0:c r="C10" s="50" t="n"/>
      <ns0:c r="D10" s="56" t="n">
        <ns0:v>2</ns0:v>
      </ns0:c>
      <ns0:c r="E10" s="48" t="inlineStr">
        <ns0:is>
          <ns0:t>+/-</ns0:t>
        </ns0:is>
      </ns0:c>
      <ns0:c r="F10" s="9" t="n"/>
      <ns0:c r="G10" s="2" t="inlineStr">
        <ns0:is>
          <ns0:t>Strong catalyst</ns0:t>
        </ns0:is>
      </ns0:c>
      <ns0:c r="H10" s="2" t="inlineStr">
        <ns0:is>
          <ns0:t>Potential catalyst</ns0:t>
        </ns0:is>
      </ns0:c>
      <ns0:c r="I10" s="9" t="inlineStr">
        <ns0:is>
          <ns0:t>No clear catalyst</ns0:t>
        </ns0:is>
      </ns0:c>
      <ns0:c r="J10" s="63" t="inlineStr">
        <ns0:is>
          <ns0:t>Judgment: reliability demand is a catalyst; installed-base penetration unknown. Sources and evidence scope: Evidence &amp; Assumptions tab.</ns0:t>
        </ns0:is>
      </ns0:c>
    </ns0:row>
    <ns0:row r="11" ht="65" customHeight="1">
      <ns0:c r="B11" s="10" t="inlineStr">
        <ns0:is>
          <ns0:t>- future growth expectations</ns0:t>
        </ns0:is>
      </ns0:c>
      <ns0:c r="C11" s="50" t="n"/>
      <ns0:c r="D11" s="56" t="n">
        <ns0:v>3</ns0:v>
      </ns0:c>
      <ns0:c r="E11" s="48" t="inlineStr">
        <ns0:is>
          <ns0:t>+</ns0:t>
        </ns0:is>
      </ns0:c>
      <ns0:c r="F11" s="9" t="n"/>
      <ns0:c r="G11" s="2" t="inlineStr">
        <ns0:is>
          <ns0:t>Mostly Tailwinds</ns0:t>
        </ns0:is>
      </ns0:c>
      <ns0:c r="H11" s="2" t="inlineStr">
        <ns0:is>
          <ns0:t>Mix of Tailwinds/Headwinds</ns0:t>
        </ns0:is>
      </ns0:c>
      <ns0:c r="I11" s="9" t="inlineStr">
        <ns0:is>
          <ns0:t>Mostly Headwinds</ns0:t>
        </ns0:is>
      </ns0:c>
      <ns0:c r="J11" s="63" t="inlineStr">
        <ns0:is>
          <ns0:t>Judgment: electrification and equipment reliability are tailwinds; exact growth unverified. Sources and evidence scope: Evidence &amp; Assumptions tab.</ns0:t>
        </ns0:is>
      </ns0:c>
    </ns0:row>
    <ns0:row r="12" ht="65" customHeight="1">
      <ns0:c r="B12" s="19" t="inlineStr">
        <ns0:is>
          <ns0:t>- Evidence to support a catalyst</ns0:t>
        </ns0:is>
      </ns0:c>
      <ns0:c r="C12" s="51" t="n"/>
      <ns0:c r="D12" s="57" t="n">
        <ns0:v>2</ns0:v>
      </ns0:c>
      <ns0:c r="E12" s="48" t="inlineStr">
        <ns0:is>
          <ns0:t>+/-</ns0:t>
        </ns0:is>
      </ns0:c>
      <ns0:c r="F12" s="21" t="n"/>
      <ns0:c r="G12" s="20" t="inlineStr">
        <ns0:is>
          <ns0:t>Strong catalyst</ns0:t>
        </ns0:is>
      </ns0:c>
      <ns0:c r="H12" s="20" t="inlineStr">
        <ns0:is>
          <ns0:t>Potential catalyst</ns0:t>
        </ns0:is>
      </ns0:c>
      <ns0:c r="I12" s="21" t="inlineStr">
        <ns0:is>
          <ns0:t>No clear catalyst</ns0:t>
        </ns0:is>
      </ns0:c>
      <ns0:c r="J12" s="64" t="inlineStr">
        <ns0:is>
          <ns0:t>NETA scope and seller/deal evidence support need, not a validated industry forecast. Sources and evidence scope: Evidence &amp; Assumptions tab.</ns0:t>
        </ns0:is>
      </ns0:c>
    </ns0:row>
    <ns0:row r="13" ht="12.75" customHeight="1">
      <ns0:c r="B13" s="4" t="inlineStr">
        <ns0:is>
          <ns0:t>Size and Fragmentation</ns0:t>
        </ns0:is>
      </ns0:c>
      <ns0:c r="C13" s="49">
        <ns0:f>AVERAGE(D14:D15)</ns0:f>
        <ns0:v>1.0</ns0:v>
      </ns0:c>
      <ns0:c r="D13" s="15" t="n">
        <ns0:v>0.1</ns0:v>
      </ns0:c>
      <ns0:c r="E13" s="8" t="n"/>
      <ns0:c r="F13" s="9" t="n"/>
      <ns0:c r="I13" s="9" t="n"/>
      <ns0:c r="J13" s="23" t="n"/>
    </ns0:row>
    <ns0:row r="14" ht="65" customHeight="1">
      <ns0:c r="B14" s="10" t="inlineStr">
        <ns0:is>
          <ns0:t>- Number of players</ns0:t>
        </ns0:is>
      </ns0:c>
      <ns0:c r="C14" s="50" t="n"/>
      <ns0:c r="D14" s="56" t="n">
        <ns0:v>1</ns0:v>
      </ns0:c>
      <ns0:c r="E14" s="48" t="inlineStr">
        <ns0:is>
          <ns0:t>-</ns0:t>
        </ns0:is>
      </ns0:c>
      <ns0:c r="F14" s="9" t="n"/>
      <ns0:c r="G14" s="2" t="inlineStr">
        <ns0:is>
          <ns0:t>Thousands of players</ns0:t>
        </ns0:is>
      </ns0:c>
      <ns0:c r="H14" s="2" t="inlineStr">
        <ns0:is>
          <ns0:t>Hundreds of players</ns0:t>
        </ns0:is>
      </ns0:c>
      <ns0:c r="I14" s="2" t="inlineStr">
        <ns0:is>
          <ns0:t>Dozens of players</ns0:t>
        </ns0:is>
      </ns0:c>
      <ns0:c r="J14" s="63" t="inlineStr">
        <ns0:is>
          <ns0:t>Unknown full industry population; directory branches are not independent firms. Acquisition target TAM unscored. Sources and evidence scope: Evidence &amp; Assumptions tab.</ns0:t>
        </ns0:is>
      </ns0:c>
    </ns0:row>
    <ns0:row r="15" ht="65" customHeight="1">
      <ns0:c r="B15" s="19" t="inlineStr">
        <ns0:is>
          <ns0:t>- Market share concentration</ns0:t>
        </ns0:is>
      </ns0:c>
      <ns0:c r="C15" s="51" t="n"/>
      <ns0:c r="D15" s="57" t="n">
        <ns0:v>1</ns0:v>
      </ns0:c>
      <ns0:c r="E15" s="48" t="inlineStr">
        <ns0:is>
          <ns0:t>-</ns0:t>
        </ns0:is>
      </ns0:c>
      <ns0:c r="F15" s="21" t="n"/>
      <ns0:c r="G15" s="20" t="inlineStr">
        <ns0:is>
          <ns0:t>Largest have &lt;10% mkt sh.</ns0:t>
        </ns0:is>
      </ns0:c>
      <ns0:c r="H15" s="20" t="inlineStr">
        <ns0:is>
          <ns0:t>Largest have &lt;25% mkt sh.</ns0:t>
        </ns0:is>
      </ns0:c>
      <ns0:c r="I15" s="21" t="inlineStr">
        <ns0:is>
          <ns0:t>Largest have &gt;50% mkt sh.</ns0:t>
        </ns0:is>
      </ns0:c>
      <ns0:c r="J15" s="64" t="inlineStr">
        <ns0:is>
          <ns0:t>Unknown narrow industry shares. Sources and evidence scope: Evidence &amp; Assumptions tab.</ns0:t>
        </ns0:is>
      </ns0:c>
    </ns0:row>
    <ns0:row r="16" ht="12.75" customHeight="1">
      <ns0:c r="B16" s="4" t="inlineStr">
        <ns0:is>
          <ns0:t>Industry Economics</ns0:t>
        </ns0:is>
      </ns0:c>
      <ns0:c r="C16" s="49">
        <ns0:f>AVERAGE(D17:D19)</ns0:f>
        <ns0:v>1.0</ns0:v>
      </ns0:c>
      <ns0:c r="D16" s="15" t="n">
        <ns0:v>0.1</ns0:v>
      </ns0:c>
      <ns0:c r="E16" s="8" t="n"/>
      <ns0:c r="F16" s="9" t="n"/>
      <ns0:c r="I16" s="9" t="n"/>
      <ns0:c r="J16" s="23" t="n"/>
    </ns0:row>
    <ns0:row r="17" ht="65" customHeight="1">
      <ns0:c r="B17" s="10" t="inlineStr">
        <ns0:is>
          <ns0:t>- Average industry gross margins</ns0:t>
        </ns0:is>
      </ns0:c>
      <ns0:c r="C17" s="50" t="n"/>
      <ns0:c r="D17" s="56" t="n">
        <ns0:v>1</ns0:v>
      </ns0:c>
      <ns0:c r="E17" s="48" t="inlineStr">
        <ns0:is>
          <ns0:t>-</ns0:t>
        </ns0:is>
      </ns0:c>
      <ns0:c r="F17" s="9" t="n"/>
      <ns0:c r="G17" s="2" t="inlineStr">
        <ns0:is>
          <ns0:t>60-90% gross margins</ns0:t>
        </ns0:is>
      </ns0:c>
      <ns0:c r="H17" s="2" t="inlineStr">
        <ns0:is>
          <ns0:t>40-60% gross margins</ns0:t>
        </ns0:is>
      </ns0:c>
      <ns0:c r="I17" s="9" t="inlineStr">
        <ns0:is>
          <ns0:t>10-40% gross margins</ns0:t>
        </ns0:is>
      </ns0:c>
      <ns0:c r="J17" s="63" t="inlineStr">
        <ns0:is>
          <ns0:t>Unknown normalized industry gross margins. Sources and evidence scope: Evidence &amp; Assumptions tab.</ns0:t>
        </ns0:is>
      </ns0:c>
    </ns0:row>
    <ns0:row r="18" ht="65" customHeight="1">
      <ns0:c r="B18" s="10" t="inlineStr">
        <ns0:is>
          <ns0:t>- Average industry EBITDA margins</ns0:t>
        </ns0:is>
      </ns0:c>
      <ns0:c r="C18" s="50" t="n"/>
      <ns0:c r="D18" s="56" t="n">
        <ns0:v>1</ns0:v>
      </ns0:c>
      <ns0:c r="E18" s="48" t="inlineStr">
        <ns0:is>
          <ns0:t>-</ns0:t>
        </ns0:is>
      </ns0:c>
      <ns0:c r="F18" s="9" t="n"/>
      <ns0:c r="G18" s="2" t="inlineStr">
        <ns0:is>
          <ns0:t>30-60% EBITDA margins</ns0:t>
        </ns0:is>
      </ns0:c>
      <ns0:c r="H18" s="2" t="inlineStr">
        <ns0:is>
          <ns0:t>10-30% EBITDA margins</ns0:t>
        </ns0:is>
      </ns0:c>
      <ns0:c r="I18" s="9" t="inlineStr">
        <ns0:is>
          <ns0:t>&lt;10% EBITDA margins</ns0:t>
        </ns0:is>
      </ns0:c>
      <ns0:c r="J18" s="63" t="inlineStr">
        <ns0:is>
          <ns0:t>Unknown industry EBITDA; seller 57.4% unverified outlier is not industry benchmark. Sources and evidence scope: Evidence &amp; Assumptions tab.</ns0:t>
        </ns0:is>
      </ns0:c>
    </ns0:row>
    <ns0:row r="19" ht="65" customHeight="1">
      <ns0:c r="B19" s="19" t="inlineStr">
        <ns0:is>
          <ns0:t>- Average industry ROTC</ns0:t>
        </ns0:is>
      </ns0:c>
      <ns0:c r="C19" s="51" t="n"/>
      <ns0:c r="D19" s="57" t="n">
        <ns0:v>1</ns0:v>
      </ns0:c>
      <ns0:c r="E19" s="48" t="inlineStr">
        <ns0:is>
          <ns0:t>-</ns0:t>
        </ns0:is>
      </ns0:c>
      <ns0:c r="F19" s="21" t="n"/>
      <ns0:c r="G19" s="20" t="inlineStr">
        <ns0:is>
          <ns0:t>&gt;20% ROTC</ns0:t>
        </ns0:is>
      </ns0:c>
      <ns0:c r="H19" s="20" t="inlineStr">
        <ns0:is>
          <ns0:t>10-20% ROTC</ns0:t>
        </ns0:is>
      </ns0:c>
      <ns0:c r="I19" s="21" t="inlineStr">
        <ns0:is>
          <ns0:t>&lt;10% ROTC</ns0:t>
        </ns0:is>
      </ns0:c>
      <ns0:c r="J19" s="64" t="inlineStr">
        <ns0:is>
          <ns0:t>Unknown industry ROTC. Sources and evidence scope: Evidence &amp; Assumptions tab.</ns0:t>
        </ns0:is>
      </ns0:c>
    </ns0:row>
    <ns0:row r="20" ht="12.75" customHeight="1">
      <ns0:c r="B20" s="4" t="inlineStr">
        <ns0:is>
          <ns0:t>Mission Criticality</ns0:t>
        </ns0:is>
      </ns0:c>
      <ns0:c r="C20" s="49">
        <ns0:f>AVERAGE(D21:D23)</ns0:f>
        <ns0:v>2.3333333333333335</ns0:v>
      </ns0:c>
      <ns0:c r="D20" s="15" t="n">
        <ns0:v>0.15</ns0:v>
      </ns0:c>
      <ns0:c r="E20" s="8" t="n"/>
      <ns0:c r="F20" s="9" t="n"/>
      <ns0:c r="I20" s="9" t="n"/>
      <ns0:c r="J20" s="23" t="n"/>
    </ns0:row>
    <ns0:row r="21" ht="65" customHeight="1">
      <ns0:c r="B21" s="10" t="inlineStr">
        <ns0:is>
          <ns0:t>- Average customer feedback</ns0:t>
        </ns0:is>
      </ns0:c>
      <ns0:c r="C21" s="50" t="n"/>
      <ns0:c r="D21" s="56" t="n">
        <ns0:v>2</ns0:v>
      </ns0:c>
      <ns0:c r="E21" s="48" t="inlineStr">
        <ns0:is>
          <ns0:t>+/-</ns0:t>
        </ns0:is>
      </ns0:c>
      <ns0:c r="F21" s="9" t="n"/>
      <ns0:c r="G21" s="2" t="inlineStr">
        <ns0:is>
          <ns0:t>Positive customer feedback</ns0:t>
        </ns0:is>
      </ns0:c>
      <ns0:c r="H21" s="2" t="inlineStr">
        <ns0:is>
          <ns0:t>Neutral feedback</ns0:t>
        </ns0:is>
      </ns0:c>
      <ns0:c r="I21" s="9" t="inlineStr">
        <ns0:is>
          <ns0:t>Negative feedback</ns0:t>
        </ns0:is>
      </ns0:c>
      <ns0:c r="J21" s="63" t="inlineStr">
        <ns0:is>
          <ns0:t>No independent customer feedback dataset; neutral assumption. Sources and evidence scope: Evidence &amp; Assumptions tab.</ns0:t>
        </ns0:is>
      </ns0:c>
    </ns0:row>
    <ns0:row r="22" ht="65" customHeight="1">
      <ns0:c r="B22" s="10" t="inlineStr">
        <ns0:is>
          <ns0:t>- Clarity of value proposition</ns0:t>
        </ns0:is>
      </ns0:c>
      <ns0:c r="C22" s="50" t="n"/>
      <ns0:c r="D22" s="56" t="n">
        <ns0:v>3</ns0:v>
      </ns0:c>
      <ns0:c r="E22" s="48" t="inlineStr">
        <ns0:is>
          <ns0:t>+</ns0:t>
        </ns0:is>
      </ns0:c>
      <ns0:c r="F22" s="9" t="n"/>
      <ns0:c r="G22" s="2" t="inlineStr">
        <ns0:is>
          <ns0:t>Clear value proposition</ns0:t>
        </ns0:is>
      </ns0:c>
      <ns0:c r="H22" s="2" t="inlineStr">
        <ns0:is>
          <ns0:t>Weaker value proposition</ns0:t>
        </ns0:is>
      </ns0:c>
      <ns0:c r="I22" s="9" t="inlineStr">
        <ns0:is>
          <ns0:t>Unclear value proposition</ns0:t>
        </ns0:is>
      </ns0:c>
      <ns0:c r="J22" s="63" t="inlineStr">
        <ns0:is>
          <ns0:t>Judgment: uptime and safe power equipment are essential. Sources and evidence scope: Evidence &amp; Assumptions tab.</ns0:t>
        </ns0:is>
      </ns0:c>
    </ns0:row>
    <ns0:row r="23" ht="65" customHeight="1">
      <ns0:c r="B23" s="19" t="inlineStr">
        <ns0:is>
          <ns0:t>- Customer switching costs</ns0:t>
        </ns0:is>
      </ns0:c>
      <ns0:c r="C23" s="51" t="n"/>
      <ns0:c r="D23" s="57" t="n">
        <ns0:v>2</ns0:v>
      </ns0:c>
      <ns0:c r="E23" s="48" t="inlineStr">
        <ns0:is>
          <ns0:t>+/-</ns0:t>
        </ns0:is>
      </ns0:c>
      <ns0:c r="F23" s="21" t="n"/>
      <ns0:c r="G23" s="20" t="inlineStr">
        <ns0:is>
          <ns0:t>High customers switch costs</ns0:t>
        </ns0:is>
      </ns0:c>
      <ns0:c r="H23" s="20" t="inlineStr">
        <ns0:is>
          <ns0:t>Can be replaced w/effort</ns0:t>
        </ns0:is>
      </ns0:c>
      <ns0:c r="I23" s="21" t="inlineStr">
        <ns0:is>
          <ns0:t>Easy to replace</ns0:t>
        </ns0:is>
      </ns0:c>
      <ns0:c r="J23" s="64" t="inlineStr">
        <ns0:is>
          <ns0:t>Judgment: maintenance history and site access create switching effort. Sources and evidence scope: Evidence &amp; Assumptions tab.</ns0:t>
        </ns0:is>
      </ns0:c>
    </ns0:row>
    <ns0:row r="24" ht="12.75" customHeight="1">
      <ns0:c r="B24" s="4" t="inlineStr">
        <ns0:is>
          <ns0:t>Exogeneous Risks</ns0:t>
        </ns0:is>
      </ns0:c>
      <ns0:c r="C24" s="49">
        <ns0:f>AVERAGE(D25:D29)</ns0:f>
        <ns0:v>2.2</ns0:v>
      </ns0:c>
      <ns0:c r="D24" s="15" t="n">
        <ns0:v>0.1</ns0:v>
      </ns0:c>
      <ns0:c r="E24" s="8" t="n"/>
      <ns0:c r="F24" s="9" t="n"/>
      <ns0:c r="I24" s="9" t="n"/>
      <ns0:c r="J24" s="23" t="n"/>
    </ns0:row>
    <ns0:row r="25" ht="65" customHeight="1">
      <ns0:c r="B25" s="10" t="inlineStr">
        <ns0:is>
          <ns0:t>- Visibility on tech adoption and obsolescence</ns0:t>
        </ns0:is>
      </ns0:c>
      <ns0:c r="C25" s="50" t="n"/>
      <ns0:c r="D25" s="56" t="n">
        <ns0:v>3</ns0:v>
      </ns0:c>
      <ns0:c r="E25" s="48" t="inlineStr">
        <ns0:is>
          <ns0:t>+</ns0:t>
        </ns0:is>
      </ns0:c>
      <ns0:c r="F25" s="9" t="n"/>
      <ns0:c r="G25" s="2" t="inlineStr">
        <ns0:is>
          <ns0:t>High visibility</ns0:t>
        </ns0:is>
      </ns0:c>
      <ns0:c r="H25" s="2" t="inlineStr">
        <ns0:is>
          <ns0:t>Some visibility</ns0:t>
        </ns0:is>
      </ns0:c>
      <ns0:c r="I25" s="9" t="inlineStr">
        <ns0:is>
          <ns0:t>No visibility</ns0:t>
        </ns0:is>
      </ns0:c>
      <ns0:c r="J25" s="63" t="inlineStr">
        <ns0:is>
          <ns0:t>Judgment: field testing remains physical and technically specialized. Sources and evidence scope: Evidence &amp; Assumptions tab.</ns0:t>
        </ns0:is>
      </ns0:c>
    </ns0:row>
    <ns0:row r="26" ht="65" customHeight="1">
      <ns0:c r="B26" s="10" t="inlineStr">
        <ns0:is>
          <ns0:t>- Regulatory risk and frequency of changes</ns0:t>
        </ns0:is>
      </ns0:c>
      <ns0:c r="C26" s="50" t="n"/>
      <ns0:c r="D26" s="56" t="n">
        <ns0:v>2</ns0:v>
      </ns0:c>
      <ns0:c r="E26" s="48" t="inlineStr">
        <ns0:is>
          <ns0:t>+/-</ns0:t>
        </ns0:is>
      </ns0:c>
      <ns0:c r="F26" s="9" t="n"/>
      <ns0:c r="G26" s="2" t="inlineStr">
        <ns0:is>
          <ns0:t>Low risk and frequency</ns0:t>
        </ns0:is>
      </ns0:c>
      <ns0:c r="H26" s="2" t="inlineStr">
        <ns0:is>
          <ns0:t>Some risk and frequency</ns0:t>
        </ns0:is>
      </ns0:c>
      <ns0:c r="I26" s="9" t="inlineStr">
        <ns0:is>
          <ns0:t>High risk and frequency</ns0:t>
        </ns0:is>
      </ns0:c>
      <ns0:c r="J26" s="63" t="inlineStr">
        <ns0:is>
          <ns0:t>Judgment: standards changes create demand and compliance cost. Sources and evidence scope: Evidence &amp; Assumptions tab.</ns0:t>
        </ns0:is>
      </ns0:c>
    </ns0:row>
    <ns0:row r="27" ht="65" customHeight="1">
      <ns0:c r="B27" s="10" t="inlineStr">
        <ns0:is>
          <ns0:t>- Liability risks</ns0:t>
        </ns0:is>
      </ns0:c>
      <ns0:c r="C27" s="50" t="n"/>
      <ns0:c r="D27" s="56" t="n">
        <ns0:v>1</ns0:v>
      </ns0:c>
      <ns0:c r="E27" s="48" t="inlineStr">
        <ns0:is>
          <ns0:t>-</ns0:t>
        </ns0:is>
      </ns0:c>
      <ns0:c r="F27" s="9" t="n"/>
      <ns0:c r="G27" s="2" t="inlineStr">
        <ns0:is>
          <ns0:t>Low liability risks</ns0:t>
        </ns0:is>
      </ns0:c>
      <ns0:c r="H27" s="2" t="inlineStr">
        <ns0:is>
          <ns0:t>Some liability risks</ns0:t>
        </ns0:is>
      </ns0:c>
      <ns0:c r="I27" s="9" t="inlineStr">
        <ns0:is>
          <ns0:t>High liability risks</ns0:t>
        </ns0:is>
      </ns0:c>
      <ns0:c r="J27" s="63" t="inlineStr">
        <ns0:is>
          <ns0:t>Judgment: high voltage and outage errors create material liability. Sources and evidence scope: Evidence &amp; Assumptions tab.</ns0:t>
        </ns0:is>
      </ns0:c>
    </ns0:row>
    <ns0:row r="28" ht="65" customHeight="1">
      <ns0:c r="B28" s="10" t="inlineStr">
        <ns0:is>
          <ns0:t>- Cyclicality</ns0:t>
        </ns0:is>
      </ns0:c>
      <ns0:c r="C28" s="50" t="n"/>
      <ns0:c r="D28" s="56" t="n">
        <ns0:v>2</ns0:v>
      </ns0:c>
      <ns0:c r="E28" s="48" t="inlineStr">
        <ns0:is>
          <ns0:t>+/-</ns0:t>
        </ns0:is>
      </ns0:c>
      <ns0:c r="F28" s="9" t="n"/>
      <ns0:c r="G28" s="2" t="inlineStr">
        <ns0:is>
          <ns0:t>Low cyclicality</ns0:t>
        </ns0:is>
      </ns0:c>
      <ns0:c r="H28" s="2" t="inlineStr">
        <ns0:is>
          <ns0:t>Some cyclicality</ns0:t>
        </ns0:is>
      </ns0:c>
      <ns0:c r="I28" s="9" t="inlineStr">
        <ns0:is>
          <ns0:t>High cyclicality</ns0:t>
        </ns0:is>
      </ns0:c>
      <ns0:c r="J28" s="63" t="inlineStr">
        <ns0:is>
          <ns0:t>Judgment: maintenance repeat demand mixed with cyclical projects. Sources and evidence scope: Evidence &amp; Assumptions tab.</ns0:t>
        </ns0:is>
      </ns0:c>
    </ns0:row>
    <ns0:row r="29" ht="65" customHeight="1">
      <ns0:c r="B29" s="19" t="inlineStr">
        <ns0:is>
          <ns0:t>- Exposure to trends</ns0:t>
        </ns0:is>
      </ns0:c>
      <ns0:c r="C29" s="51" t="n"/>
      <ns0:c r="D29" s="57" t="n">
        <ns0:v>3</ns0:v>
      </ns0:c>
      <ns0:c r="E29" s="48" t="inlineStr">
        <ns0:is>
          <ns0:t>+</ns0:t>
        </ns0:is>
      </ns0:c>
      <ns0:c r="F29" s="21" t="n"/>
      <ns0:c r="G29" s="20" t="inlineStr">
        <ns0:is>
          <ns0:t>High resiliency to trends</ns0:t>
        </ns0:is>
      </ns0:c>
      <ns0:c r="H29" s="20" t="inlineStr">
        <ns0:is>
          <ns0:t>Some resiliency to trends</ns0:t>
        </ns0:is>
      </ns0:c>
      <ns0:c r="I29" s="21" t="inlineStr">
        <ns0:is>
          <ns0:t>Changing trends</ns0:t>
        </ns0:is>
      </ns0:c>
      <ns0:c r="J29" s="64" t="inlineStr">
        <ns0:is>
          <ns0:t>Judgment: electrification and aging equipment favor reliability work. Sources and evidence scope: Evidence &amp; Assumptions tab.</ns0:t>
        </ns0:is>
      </ns0:c>
    </ns0:row>
    <ns0:row r="30" ht="12.75" customHeight="1">
      <ns0:c r="B30" s="4" t="inlineStr">
        <ns0:is>
          <ns0:t>Porter's Five Forces</ns0:t>
        </ns0:is>
      </ns0:c>
      <ns0:c r="C30" s="49">
        <ns0:f>AVERAGE(D31:D36)</ns0:f>
        <ns0:v>1.8333333333333333</ns0:v>
      </ns0:c>
      <ns0:c r="D30" s="15" t="n">
        <ns0:v>0.15</ns0:v>
      </ns0:c>
      <ns0:c r="E30" s="8" t="n"/>
      <ns0:c r="F30" s="9" t="n"/>
      <ns0:c r="I30" s="9" t="n"/>
      <ns0:c r="J30" s="23" t="n"/>
    </ns0:row>
    <ns0:row r="31" ht="65" customHeight="1">
      <ns0:c r="B31" s="10" t="inlineStr">
        <ns0:is>
          <ns0:t>- Prevalence of VC-backed startups</ns0:t>
        </ns0:is>
      </ns0:c>
      <ns0:c r="C31" s="50" t="n"/>
      <ns0:c r="D31" s="56" t="n">
        <ns0:v>2</ns0:v>
      </ns0:c>
      <ns0:c r="E31" s="48" t="inlineStr">
        <ns0:is>
          <ns0:t>+/-</ns0:t>
        </ns0:is>
      </ns0:c>
      <ns0:c r="F31" s="9" t="n"/>
      <ns0:c r="G31" s="2" t="inlineStr">
        <ns0:is>
          <ns0:t>Low</ns0:t>
        </ns0:is>
      </ns0:c>
      <ns0:c r="H31" s="2" t="inlineStr">
        <ns0:is>
          <ns0:t>Some</ns0:t>
        </ns0:is>
      </ns0:c>
      <ns0:c r="I31" s="9" t="inlineStr">
        <ns0:is>
          <ns0:t>High</ns0:t>
        </ns0:is>
      </ns0:c>
      <ns0:c r="J31" s="63" t="inlineStr">
        <ns0:is>
          <ns0:t>Exact-niche VC prevalence unknown; PE activity is not VC count. Sources and evidence scope: Evidence &amp; Assumptions tab.</ns0:t>
        </ns0:is>
      </ns0:c>
    </ns0:row>
    <ns0:row r="32" ht="65" customHeight="1">
      <ns0:c r="B32" s="10" t="inlineStr">
        <ns0:is>
          <ns0:t>- Level of competition</ns0:t>
        </ns0:is>
      </ns0:c>
      <ns0:c r="C32" s="50" t="n"/>
      <ns0:c r="D32" s="56" t="n">
        <ns0:v>1</ns0:v>
      </ns0:c>
      <ns0:c r="E32" s="48" t="inlineStr">
        <ns0:is>
          <ns0:t>-</ns0:t>
        </ns0:is>
      </ns0:c>
      <ns0:c r="F32" s="9" t="n"/>
      <ns0:c r="G32" s="2" t="inlineStr">
        <ns0:is>
          <ns0:t>Low</ns0:t>
        </ns0:is>
      </ns0:c>
      <ns0:c r="H32" s="2" t="inlineStr">
        <ns0:is>
          <ns0:t>Some</ns0:t>
        </ns0:is>
      </ns0:c>
      <ns0:c r="I32" s="9" t="inlineStr">
        <ns0:is>
          <ns0:t>High</ns0:t>
        </ns0:is>
      </ns0:c>
      <ns0:c r="J32" s="63" t="inlineStr">
        <ns0:is>
          <ns0:t>Shermco platform activity demonstrates well-capitalized competition. Sources and evidence scope: Evidence &amp; Assumptions tab.</ns0:t>
        </ns0:is>
      </ns0:c>
    </ns0:row>
    <ns0:row r="33" ht="65" customHeight="1">
      <ns0:c r="B33" s="10" t="inlineStr">
        <ns0:is>
          <ns0:t>- State of new entrants</ns0:t>
        </ns0:is>
      </ns0:c>
      <ns0:c r="C33" s="50" t="n"/>
      <ns0:c r="D33" s="56" t="n">
        <ns0:v>3</ns0:v>
      </ns0:c>
      <ns0:c r="E33" s="48" t="inlineStr">
        <ns0:is>
          <ns0:t>+</ns0:t>
        </ns0:is>
      </ns0:c>
      <ns0:c r="F33" s="9" t="n"/>
      <ns0:c r="G33" s="2" t="inlineStr">
        <ns0:is>
          <ns0:t>Low</ns0:t>
        </ns0:is>
      </ns0:c>
      <ns0:c r="H33" s="2" t="inlineStr">
        <ns0:is>
          <ns0:t>Some</ns0:t>
        </ns0:is>
      </ns0:c>
      <ns0:c r="I33" s="9" t="inlineStr">
        <ns0:is>
          <ns0:t>High</ns0:t>
        </ns0:is>
      </ns0:c>
      <ns0:c r="J33" s="63" t="inlineStr">
        <ns0:is>
          <ns0:t>Judgment: qualified staff, equipment and credentials constrain entry. Sources and evidence scope: Evidence &amp; Assumptions tab.</ns0:t>
        </ns0:is>
      </ns0:c>
    </ns0:row>
    <ns0:row r="34" ht="65" customHeight="1">
      <ns0:c r="B34" s="10" t="inlineStr">
        <ns0:is>
          <ns0:t>- Level of supplier power</ns0:t>
        </ns0:is>
      </ns0:c>
      <ns0:c r="C34" s="50" t="n"/>
      <ns0:c r="D34" s="56" t="n">
        <ns0:v>1</ns0:v>
      </ns0:c>
      <ns0:c r="E34" s="48" t="inlineStr">
        <ns0:is>
          <ns0:t>-</ns0:t>
        </ns0:is>
      </ns0:c>
      <ns0:c r="F34" s="9" t="n"/>
      <ns0:c r="G34" s="2" t="inlineStr">
        <ns0:is>
          <ns0:t>Low</ns0:t>
        </ns0:is>
      </ns0:c>
      <ns0:c r="H34" s="2" t="inlineStr">
        <ns0:is>
          <ns0:t>Some</ns0:t>
        </ns0:is>
      </ns0:c>
      <ns0:c r="I34" s="9" t="inlineStr">
        <ns0:is>
          <ns0:t>High</ns0:t>
        </ns0:is>
      </ns0:c>
      <ns0:c r="J34" s="63" t="inlineStr">
        <ns0:is>
          <ns0:t>Judgment: specialist labor and test equipment confer supplier power. Sources and evidence scope: Evidence &amp; Assumptions tab.</ns0:t>
        </ns0:is>
      </ns0:c>
    </ns0:row>
    <ns0:row r="35" ht="65" customHeight="1">
      <ns0:c r="B35" s="10" t="inlineStr">
        <ns0:is>
          <ns0:t>- Level of customer power</ns0:t>
        </ns0:is>
      </ns0:c>
      <ns0:c r="C35" s="50" t="n"/>
      <ns0:c r="D35" s="56" t="n">
        <ns0:v>2</ns0:v>
      </ns0:c>
      <ns0:c r="E35" s="48" t="inlineStr">
        <ns0:is>
          <ns0:t>+/-</ns0:t>
        </ns0:is>
      </ns0:c>
      <ns0:c r="F35" s="9" t="n"/>
      <ns0:c r="G35" s="2" t="inlineStr">
        <ns0:is>
          <ns0:t>Low</ns0:t>
        </ns0:is>
      </ns0:c>
      <ns0:c r="H35" s="2" t="inlineStr">
        <ns0:is>
          <ns0:t>Some</ns0:t>
        </ns0:is>
      </ns0:c>
      <ns0:c r="I35" s="9" t="inlineStr">
        <ns0:is>
          <ns0:t>High</ns0:t>
        </ns0:is>
      </ns0:c>
      <ns0:c r="J35" s="63" t="inlineStr">
        <ns0:is>
          <ns0:t>Judgment: larger commercial/industrial buyers can exert pricing pressure. Sources and evidence scope: Evidence &amp; Assumptions tab.</ns0:t>
        </ns0:is>
      </ns0:c>
    </ns0:row>
    <ns0:row r="36" ht="65" customHeight="1">
      <ns0:c r="B36" s="19" t="inlineStr">
        <ns0:is>
          <ns0:t>- Threat of substitutes</ns0:t>
        </ns0:is>
      </ns0:c>
      <ns0:c r="C36" s="51" t="n"/>
      <ns0:c r="D36" s="57" t="n">
        <ns0:v>2</ns0:v>
      </ns0:c>
      <ns0:c r="E36" s="48" t="inlineStr">
        <ns0:is>
          <ns0:t>+/-</ns0:t>
        </ns0:is>
      </ns0:c>
      <ns0:c r="F36" s="21" t="n"/>
      <ns0:c r="G36" s="20" t="inlineStr">
        <ns0:is>
          <ns0:t>Low</ns0:t>
        </ns0:is>
      </ns0:c>
      <ns0:c r="H36" s="20" t="inlineStr">
        <ns0:is>
          <ns0:t>Some</ns0:t>
        </ns0:is>
      </ns0:c>
      <ns0:c r="I36" s="21" t="inlineStr">
        <ns0:is>
          <ns0:t>High</ns0:t>
        </ns0:is>
      </ns0:c>
      <ns0:c r="J36" s="64" t="inlineStr">
        <ns0:is>
          <ns0:t>Judgment: OEM and internal teams are partial substitutes. Sources and evidence scope: Evidence &amp; Assumptions tab.</ns0:t>
        </ns0:is>
      </ns0:c>
    </ns0:row>
    <ns0:row r="37" ht="12.75" customHeight="1">
      <ns0:c r="B37" s="4" t="inlineStr">
        <ns0:is>
          <ns0:t>Value Creation Opportunities</ns0:t>
        </ns0:is>
      </ns0:c>
      <ns0:c r="C37" s="49">
        <ns0:f>AVERAGE(D38:D39)</ns0:f>
        <ns0:v>1.5</ns0:v>
      </ns0:c>
      <ns0:c r="D37" s="15" t="n">
        <ns0:v>0.1</ns0:v>
      </ns0:c>
      <ns0:c r="E37" s="8" t="n"/>
      <ns0:c r="F37" s="9" t="n"/>
      <ns0:c r="I37" s="9" t="n"/>
      <ns0:c r="J37" s="23" t="n"/>
    </ns0:row>
    <ns0:row r="38" ht="65" customHeight="1">
      <ns0:c r="B38" s="10" t="inlineStr">
        <ns0:is>
          <ns0:t>- General complexity of businesses</ns0:t>
        </ns0:is>
      </ns0:c>
      <ns0:c r="C38" s="50" t="n"/>
      <ns0:c r="D38" s="56" t="n">
        <ns0:v>1</ns0:v>
      </ns0:c>
      <ns0:c r="E38" s="48" t="inlineStr">
        <ns0:is>
          <ns0:t>-</ns0:t>
        </ns0:is>
      </ns0:c>
      <ns0:c r="F38" s="9" t="n"/>
      <ns0:c r="G38" s="2" t="inlineStr">
        <ns0:is>
          <ns0:t>Simple businesses</ns0:t>
        </ns0:is>
      </ns0:c>
      <ns0:c r="H38" s="2" t="inlineStr">
        <ns0:is>
          <ns0:t>Moderate complexity</ns0:t>
        </ns0:is>
      </ns0:c>
      <ns0:c r="I38" s="9" t="inlineStr">
        <ns0:is>
          <ns0:t>Complex businesses</ns0:t>
        </ns0:is>
      </ns0:c>
      <ns0:c r="J38" s="63" t="inlineStr">
        <ns0:is>
          <ns0:t>Judgment: high-voltage field work and staffing are operationally complex. Sources and evidence scope: Evidence &amp; Assumptions tab.</ns0:t>
        </ns0:is>
      </ns0:c>
    </ns0:row>
    <ns0:row r="39" ht="65" customHeight="1">
      <ns0:c r="B39" s="19" t="inlineStr">
        <ns0:is>
          <ns0:t>- Professionalization opportunities</ns0:t>
        </ns0:is>
      </ns0:c>
      <ns0:c r="C39" s="51" t="n"/>
      <ns0:c r="D39" s="57" t="n">
        <ns0:v>2</ns0:v>
      </ns0:c>
      <ns0:c r="E39" s="48" t="inlineStr">
        <ns0:is>
          <ns0:t>+/-</ns0:t>
        </ns0:is>
      </ns0:c>
      <ns0:c r="F39" s="21" t="n"/>
      <ns0:c r="G39" s="20" t="inlineStr">
        <ns0:is>
          <ns0:t>Several actionable levers</ns0:t>
        </ns0:is>
      </ns0:c>
      <ns0:c r="H39" s="20" t="inlineStr">
        <ns0:is>
          <ns0:t>Some actionable levers</ns0:t>
        </ns0:is>
      </ns0:c>
      <ns0:c r="I39" s="21" t="inlineStr">
        <ns0:is>
          <ns0:t>Technical skills required</ns0:t>
        </ns0:is>
      </ns0:c>
      <ns0:c r="J39" s="64" t="inlineStr">
        <ns0:is>
          <ns0:t>Judgment: scheduling, utilization and reporting offer levers; labor constraints persist. Sources and evidence scope: Evidence &amp; Assumptions tab.</ns0:t>
        </ns0:is>
      </ns0:c>
    </ns0:row>
    <ns0:row r="40" ht="12.75" customHeight="1">
      <ns0:c r="B40" s="4" t="inlineStr">
        <ns0:is>
          <ns0:t>Impact and Externalities</ns0:t>
        </ns0:is>
      </ns0:c>
      <ns0:c r="C40" s="49">
        <ns0:f>AVERAGE(D41:D42)</ns0:f>
        <ns0:v>3.0</ns0:v>
      </ns0:c>
      <ns0:c r="D40" s="15" t="n">
        <ns0:v>0.05</ns0:v>
      </ns0:c>
      <ns0:c r="E40" s="8" t="n"/>
      <ns0:c r="F40" s="9" t="n"/>
      <ns0:c r="I40" s="9" t="n"/>
      <ns0:c r="J40" s="23" t="n"/>
    </ns0:row>
    <ns0:row r="41" ht="65" customHeight="1">
      <ns0:c r="B41" s="10" t="inlineStr">
        <ns0:is>
          <ns0:t>- Net impact to society</ns0:t>
        </ns0:is>
      </ns0:c>
      <ns0:c r="C41" s="50" t="n"/>
      <ns0:c r="D41" s="56" t="n">
        <ns0:v>3</ns0:v>
      </ns0:c>
      <ns0:c r="E41" s="48" t="inlineStr">
        <ns0:is>
          <ns0:t>+</ns0:t>
        </ns0:is>
      </ns0:c>
      <ns0:c r="F41" s="9" t="n"/>
      <ns0:c r="G41" s="2" t="inlineStr">
        <ns0:is>
          <ns0:t>Net positive impact</ns0:t>
        </ns0:is>
      </ns0:c>
      <ns0:c r="H41" s="2" t="inlineStr">
        <ns0:is>
          <ns0:t>Neutral impact</ns0:t>
        </ns0:is>
      </ns0:c>
      <ns0:c r="I41" s="9" t="inlineStr">
        <ns0:is>
          <ns0:t>Net negative impact</ns0:t>
        </ns0:is>
      </ns0:c>
      <ns0:c r="J41" s="63" t="inlineStr">
        <ns0:is>
          <ns0:t>Judgment: safe reliable power supports essential operations. Sources and evidence scope: Evidence &amp; Assumptions tab.</ns0:t>
        </ns0:is>
      </ns0:c>
    </ns0:row>
    <ns0:row r="42" ht="65" customHeight="1">
      <ns0:c r="B42" s="11" t="inlineStr">
        <ns0:is>
          <ns0:t>- Positive or negative externalities</ns0:t>
        </ns0:is>
      </ns0:c>
      <ns0:c r="C42" s="52" t="n"/>
      <ns0:c r="D42" s="56" t="n">
        <ns0:v>3</ns0:v>
      </ns0:c>
      <ns0:c r="E42" s="48" t="inlineStr">
        <ns0:is>
          <ns0:t>+</ns0:t>
        </ns0:is>
      </ns0:c>
      <ns0:c r="F42" s="13" t="n"/>
      <ns0:c r="G42" s="12" t="inlineStr">
        <ns0:is>
          <ns0:t>Positive externalities</ns0:t>
        </ns0:is>
      </ns0:c>
      <ns0:c r="H42" s="12" t="inlineStr">
        <ns0:is>
          <ns0:t>Neutral externalities</ns0:t>
        </ns0:is>
      </ns0:c>
      <ns0:c r="I42" s="13" t="inlineStr">
        <ns0:is>
          <ns0:t>Negative externalities</ns0:t>
        </ns0:is>
      </ns0:c>
      <ns0:c r="J42" s="65" t="inlineStr">
        <ns0:is>
          <ns0:t>Judgment: fewer outages and equipment failures create positive externalities. Sources and evidence scope: Evidence &amp; Assumptions tab.</ns0:t>
        </ns0:is>
      </ns0:c>
    </ns0:row>
    <ns0:row r="43">
      <ns0:c r="B43" s="14" t="inlineStr">
        <ns0:is>
          <ns0:t>Total Score</ns0:t>
        </ns0:is>
      </ns0:c>
      <ns0:c r="C43" s="49">
        <ns0:f>SUMPRODUCT(C8:C42,D8:D42)</ns0:f>
        <ns0:v>1.9075000000000002</ns0:v>
      </ns0:c>
      <ns0:c r="D43" s="18" t="inlineStr">
        <ns0:is>
          <ns0:t>Commentary: N/A</ns0:t>
        </ns0:is>
      </ns0:c>
      <ns0:c r="E43" s="18" t="n"/>
      <ns0:c r="F43" s="16" t="n"/>
      <ns0:c r="G43" s="16" t="n"/>
      <ns0:c r="H43" s="16" t="n"/>
      <ns0:c r="I43" s="16" t="n"/>
      <ns0:c r="J43" s="17" t="n"/>
    </ns0:row>
    <ns0:row r="44">
      <ns0:c r="D44" s="3" t="n"/>
    </ns0:row>
    <ns0:row r="45" ht="15" customHeight="1"/>
    <ns0:row r="52" ht="15" customHeight="1"/>
    <ns0:row r="59" ht="15" customHeight="1"/>
    <ns0:row r="66" ht="15" customHeight="1"/>
    <ns0:row r="73" ht="15" customHeight="1"/>
    <ns0:row r="80" ht="15" customHeight="1"/>
    <ns0:row r="87" ht="15" customHeight="1"/>
    <ns0:row r="94" ht="15" customHeight="1"/>
  </ns0:sheetData>
  <ns0:mergeCells count="1">
    <ns0:mergeCell ref="G5:I5"/>
  </ns0:mergeCells>
  <ns0:pageMargins left="0.7" right="0.7" top="0.75" bottom="0.75" header="0.3" footer="0.3"/>
  <ns0:pageSetup orientation="portrait"/>
</ns0: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  <col width="90" customWidth="1" min="3" max="3"/>
  </cols>
  <sheetData>
    <row r="1">
      <c r="A1" s="66" t="inlineStr">
        <is>
          <t>Method</t>
        </is>
      </c>
      <c r="B1" s="66" t="inlineStr">
        <is>
          <t>Actual eight-group G&amp;B INDUSTRY template; ratings +=3, +/-=2, -=1. Unknown empirical metrics assigned conservative 1 uncertainty penalty, not asserted adverse facts; unknown qualitative judgments generally 2. Target TAM excluded. Weighted average /3. Original category/total formulas retained; numeric rating inputs replace SWITCH and deterministic XML caches verified with openpyxl data_only. No initial-screen certification.</t>
        </is>
      </c>
      <c r="C1" s="66" t="n"/>
    </row>
    <row r="2">
      <c r="A2" s="66" t="inlineStr">
        <is>
          <t>Operating date</t>
        </is>
      </c>
      <c r="B2" s="66" t="inlineStr">
        <is>
          <t>2026-09-07</t>
        </is>
      </c>
      <c r="C2" s="66" t="n"/>
    </row>
    <row r="3">
      <c r="A3" s="66" t="inlineStr">
        <is>
          <t>Scope</t>
        </is>
      </c>
      <c r="B3" s="66" t="inlineStr">
        <is>
          <t>Independent Electrical Power-System Testing and Preventive Reliability Services for Commercial and Industrial Facilities</t>
        </is>
      </c>
      <c r="C3" s="66" t="n"/>
    </row>
    <row r="4">
      <c r="A4" s="66" t="inlineStr">
        <is>
          <t>Target TAM (unscored)</t>
        </is>
      </c>
      <c r="B4" s="66" t="inlineStr">
        <is>
          <t>{"total_firms": "NETA directory demonstrates numerous company names and branches; at least five named service firms retained plus two platform/acquired comps", "independently_owned": "Unknown. NETA third-party independence means independence from equipment/manufacturing conflicts, not absence of PE. A&amp;F describes independent company but equity and scale unverified.", "already_backed_or_acquired": "Shermco platform and Advanced Testing Systems/HIGHVOLT excluded from independent count; ABM branches excluded. Full count unknown.", "pe_consolidation_risk": "High: Shermco $1.6B Blackstone transaction announced2025 plus strategic consolidation", "sprint_duration": "Unknown until ownership/branch dedup and revenue-mix validation", "observed_provider_count": 5}</t>
        </is>
      </c>
      <c r="C4" s="66" t="n"/>
    </row>
    <row r="5">
      <c r="A5" s="66" t="inlineStr">
        <is>
          <t>Source</t>
        </is>
      </c>
      <c r="B5" s="66" t="inlineStr">
        <is>
          <t>URL</t>
        </is>
      </c>
      <c r="C5" s="66" t="inlineStr">
        <is>
          <t>Observed evidence / limits</t>
        </is>
      </c>
    </row>
    <row r="6">
      <c r="A6" s="66" t="inlineStr">
        <is>
          <t>NETA accreditation</t>
        </is>
      </c>
      <c r="B6" s="67" t="inlineStr">
        <is>
          <t>https://netadev.netaworld.org/accreditation/overview</t>
        </is>
      </c>
      <c r="C6" s="66" t="inlineStr">
        <is>
          <t>Third-party testing/maintenance company standards, not PE ownership certification</t>
        </is>
      </c>
    </row>
    <row r="7">
      <c r="A7" s="66" t="inlineStr">
        <is>
          <t>NETA Spring2026 directory</t>
        </is>
      </c>
      <c r="B7" s="67" t="inlineStr">
        <is>
          <t>https://netaworldjournal.org/wp-content/uploads/2026/04/NWJ-spring-2026.pdf</t>
        </is>
      </c>
      <c r="C7" s="66" t="inlineStr">
        <is>
          <t>Named firms and branches</t>
        </is>
      </c>
    </row>
    <row r="8">
      <c r="A8" s="66" t="inlineStr">
        <is>
          <t>NETA Summer2026 directory</t>
        </is>
      </c>
      <c r="B8" s="67" t="inlineStr">
        <is>
          <t>https://netaworldjournal.org/wp-content/uploads/2026/05/NETA-World-SM26_FINAL.pdf</t>
        </is>
      </c>
      <c r="C8" s="66" t="inlineStr">
        <is>
          <t>Named firms/locations</t>
        </is>
      </c>
    </row>
    <row r="9">
      <c r="A9" s="66" t="inlineStr">
        <is>
          <t>NETA Fall2025 directory</t>
        </is>
      </c>
      <c r="B9" s="67" t="inlineStr">
        <is>
          <t>https://netaworldjournal.org/wp-content/uploads/2025/11/NETA-World_FL25.pdf</t>
        </is>
      </c>
      <c r="C9" s="66" t="inlineStr">
        <is>
          <t>51 Power Services location/provider evidence</t>
        </is>
      </c>
    </row>
    <row r="10">
      <c r="A10" s="66" t="inlineStr">
        <is>
          <t>A&amp;F</t>
        </is>
      </c>
      <c r="B10" s="67" t="inlineStr">
        <is>
          <t>https://afelectricaltesting.com/</t>
        </is>
      </c>
      <c r="C10" s="66" t="inlineStr">
        <is>
          <t>Independent testing since1995; preventive offerings</t>
        </is>
      </c>
    </row>
    <row r="11">
      <c r="A11" s="66" t="inlineStr">
        <is>
          <t>Apparatus</t>
        </is>
      </c>
      <c r="B11" s="67" t="inlineStr">
        <is>
          <t>https://www.apparatustesting.com/</t>
        </is>
      </c>
      <c r="C11" s="66" t="inlineStr">
        <is>
          <t>Since1983, testing/maintenance</t>
        </is>
      </c>
    </row>
    <row r="12">
      <c r="A12" s="66" t="inlineStr">
        <is>
          <t>ATS HIGHVOLT</t>
        </is>
      </c>
      <c r="B12" s="67" t="inlineStr">
        <is>
          <t>https://www.highvolt.com/en/ats</t>
        </is>
      </c>
      <c r="C12" s="66" t="inlineStr">
        <is>
          <t>ATS belongs to HIGHVOLT since2022; acquired comp exclusion</t>
        </is>
      </c>
    </row>
    <row r="13">
      <c r="A13" s="66" t="inlineStr">
        <is>
          <t>Gryphon Shermco sale</t>
        </is>
      </c>
      <c r="B13" s="67" t="inlineStr">
        <is>
          <t>https://www.gryphon-inv.com/news/gryphon-investors-to-sell-shermco-to-blackstone-in-1-6-billion-transaction/</t>
        </is>
      </c>
      <c r="C13" s="66" t="inlineStr">
        <is>
          <t>Aug21 2025 $1.6B deal,600+NETA technicians/40service centers are platform scale not targets</t>
        </is>
      </c>
    </row>
    <row r="14">
      <c r="A14" s="66" t="inlineStr">
        <is>
          <t>EIA demand analysis</t>
        </is>
      </c>
      <c r="B14" s="67" t="inlineStr">
        <is>
          <t>https://www.eia.gov/todayinenergy/detail.php?id=67344</t>
        </is>
      </c>
      <c r="C14" s="66" t="inlineStr">
        <is>
          <t>Mar12 2026 electricity-load trend; not service CAGR</t>
        </is>
      </c>
    </row>
    <row r="15">
      <c r="A15" s="66" t="inlineStr">
        <is>
          <t>EMR original research</t>
        </is>
      </c>
      <c r="B15" s="67" t="inlineStr">
        <is>
          <t>https://www.expertmarketresearch.com/reports/north-america-electrical-testing-services-market</t>
        </is>
      </c>
      <c r="C15" s="66" t="inlineStr">
        <is>
          <t>Broader North America $2.66B2025/6.5% forecast proxy; narrow TAM unknown</t>
        </is>
      </c>
    </row>
    <row r="16">
      <c r="A16" s="66" t="inlineStr">
        <is>
          <t>Historical seller signal</t>
        </is>
      </c>
      <c r="B16" s="67" t="inlineStr">
        <is>
          <t>https://mail.google.com/mail/u/0/#all/1a01bd7b7605d215</t>
        </is>
      </c>
      <c r="C16" s="66" t="inlineStr">
        <is>
          <t>Aug19 seller metrics unverified</t>
        </is>
      </c>
    </row>
    <row r="17">
      <c r="A17" s="66" t="inlineStr">
        <is>
          <t>Pipeline / template source</t>
        </is>
      </c>
      <c r="B17" s="66" t="inlineStr">
        <is>
          <t>brain/traces/agents/2026-09-07-niche-intelligence.md</t>
        </is>
      </c>
      <c r="C17" s="66" t="inlineStr">
        <is>
          <t>Source lineage; not independent market evidence</t>
        </is>
      </c>
    </row>
    <row r="18">
      <c r="A18" s="66" t="inlineStr">
        <is>
          <t>Pipeline / template source</t>
        </is>
      </c>
      <c r="B18" s="66" t="inlineStr">
        <is>
          <t>/tmp/niche-intel-2026-09-07-historical/hist-email.md</t>
        </is>
      </c>
      <c r="C18" s="66" t="inlineStr">
        <is>
          <t>Source lineage; not independent market evidence</t>
        </is>
      </c>
    </row>
    <row r="19">
      <c r="A19" s="66" t="inlineStr">
        <is>
          <t>Pipeline / template source</t>
        </is>
      </c>
      <c r="B19" s="66" t="inlineStr">
        <is>
          <t>/tmp/niche-intel-2026-09-07-identified.json</t>
        </is>
      </c>
      <c r="C19" s="66" t="inlineStr">
        <is>
          <t>Source lineage; not independent market evidence</t>
        </is>
      </c>
    </row>
    <row r="20">
      <c r="A20" s="66" t="inlineStr">
        <is>
          <t>Pipeline / template source</t>
        </is>
      </c>
      <c r="B20" s="66" t="inlineStr">
        <is>
          <t>/tmp/niche-intel-2026-09-07-deliverables/electrical-power-reliability-testing/prior-sept1.pptx</t>
        </is>
      </c>
      <c r="C20" s="66" t="inlineStr">
        <is>
          <t>Source lineage; not independent market evidence</t>
        </is>
      </c>
    </row>
    <row r="21">
      <c r="A21" s="66" t="inlineStr">
        <is>
          <t>Pipeline / template source</t>
        </is>
      </c>
      <c r="B21" s="66" t="inlineStr">
        <is>
          <t>.agents/skills/niche-intelligence/references/one-pager-template.md</t>
        </is>
      </c>
      <c r="C21" s="66" t="inlineStr">
        <is>
          <t>Source lineage; not independent market evidence</t>
        </is>
      </c>
    </row>
    <row r="22">
      <c r="A22" s="66" t="inlineStr">
        <is>
          <t>Pipeline / template source</t>
        </is>
      </c>
      <c r="B22" s="66" t="inlineStr">
        <is>
          <t>brain/library/internal/one-pager-template/customs-bonds-template.pptx</t>
        </is>
      </c>
      <c r="C22" s="66" t="inlineStr">
        <is>
          <t>Source lineage; not independent market evidence</t>
        </is>
      </c>
    </row>
    <row r="23">
      <c r="A23" s="66" t="inlineStr">
        <is>
          <t>Pipeline / template source</t>
        </is>
      </c>
      <c r="B23" s="66" t="inlineStr">
        <is>
          <t>https://docs.google.com/spreadsheets/d/1vHx4E1tRTR6V3k7NQeHdCrUjDITJVtZA5YPSIFeSins/edit</t>
        </is>
      </c>
      <c r="C23" s="66" t="inlineStr">
        <is>
          <t>Source lineage; not independent market evidence</t>
        </is>
      </c>
    </row>
  </sheetData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2" r:id="rId17"/>
    <hyperlink xmlns:r="http://schemas.openxmlformats.org/officeDocument/2006/relationships" ref="B23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Luka Salamunic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2026-09-09T00:37:14Z</dcterms:modified>
  <cp:lastModifiedBy>K Sch</cp:lastModifiedBy>
</cp:coreProperties>
</file>