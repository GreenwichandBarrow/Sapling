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Industry Scorecard" sheetId="2" state="visible" r:id="rId2"/>
    <sheet xmlns:r="http://schemas.openxmlformats.org/officeDocument/2006/relationships" name="Evidence &amp; Assumptions" sheetId="3" state="visible" r:id="rId3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5">
    <xf numFmtId="0" fontId="1" fillId="0" borderId="0"/>
    <xf numFmtId="9" fontId="1" fillId="0" borderId="0"/>
    <xf numFmtId="0" fontId="2" fillId="0" borderId="0"/>
    <xf numFmtId="9" fontId="1" fillId="0" borderId="0"/>
    <xf numFmtId="0" fontId="11" fillId="0" borderId="0"/>
  </cellStyleXfs>
  <cellXfs count="68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19" applyAlignment="1" pivotButton="0" quotePrefix="0" xfId="2">
      <alignment vertical="top" wrapText="1"/>
    </xf>
    <xf numFmtId="0" fontId="2" fillId="0" borderId="13" applyAlignment="1" pivotButton="0" quotePrefix="0" xfId="2">
      <alignment vertical="top" wrapText="1"/>
    </xf>
    <xf numFmtId="0" fontId="2" fillId="0" borderId="18" applyAlignment="1" pivotButton="0" quotePrefix="0" xfId="2">
      <alignment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4">
      <alignment vertical="top" wrapText="1"/>
    </xf>
  </cellXfs>
  <cellStyles count="5">
    <cellStyle name="Normal" xfId="0" builtinId="0"/>
    <cellStyle name="Percent" xfId="1" builtinId="5"/>
    <cellStyle name="Normal 2" xfId="2"/>
    <cellStyle name="Percent 2" xfId="3"/>
    <cellStyle name="Hyperlink" xfId="4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ptbillingservices.com/about-us/" TargetMode="External" Id="rId1"/><Relationship Type="http://schemas.openxmlformats.org/officeDocument/2006/relationships/hyperlink" Target="https://ptbillingservices.com/" TargetMode="External" Id="rId2"/><Relationship Type="http://schemas.openxmlformats.org/officeDocument/2006/relationships/hyperlink" Target="https://www.ptbillingservices.net/" TargetMode="External" Id="rId3"/><Relationship Type="http://schemas.openxmlformats.org/officeDocument/2006/relationships/hyperlink" Target="https://www.4mbc.com/" TargetMode="External" Id="rId4"/><Relationship Type="http://schemas.openxmlformats.org/officeDocument/2006/relationships/hyperlink" Target="https://www.4mbc.com/leadership/" TargetMode="External" Id="rId5"/><Relationship Type="http://schemas.openxmlformats.org/officeDocument/2006/relationships/hyperlink" Target="https://ptpilotbilling.com/about/" TargetMode="External" Id="rId6"/><Relationship Type="http://schemas.openxmlformats.org/officeDocument/2006/relationships/hyperlink" Target="https://www.ptoutsourcesolutions.com/" TargetMode="External" Id="rId7"/><Relationship Type="http://schemas.openxmlformats.org/officeDocument/2006/relationships/hyperlink" Target="https://www.webpt.com/products/rcm-service" TargetMode="External" Id="rId8"/><Relationship Type="http://schemas.openxmlformats.org/officeDocument/2006/relationships/hyperlink" Target="https://www.webpt.com/about/press/webpt-announces-significant-investment-from-warburg-pincus" TargetMode="External" Id="rId9"/><Relationship Type="http://schemas.openxmlformats.org/officeDocument/2006/relationships/hyperlink" Target="https://www.bls.gov/ooh/healthcare/physical-therapists.htm" TargetMode="External" Id="rId10"/><Relationship Type="http://schemas.openxmlformats.org/officeDocument/2006/relationships/hyperlink" Target="https://mail.google.com/mail/u/0/#all/1a0344b1f5883c2c" TargetMode="External" Id="rId11"/><Relationship Type="http://schemas.openxmlformats.org/officeDocument/2006/relationships/hyperlink" Target="https://mail.google.com/mail/u/0/#all/1a03f2e9df864a43" TargetMode="External" Id="rId12"/><Relationship Type="http://schemas.openxmlformats.org/officeDocument/2006/relationships/hyperlink" Target="brain/traces/agents/2026-09-07-niche-intelligence.md" TargetMode="External" Id="rId13"/><Relationship Type="http://schemas.openxmlformats.org/officeDocument/2006/relationships/hyperlink" Target="/tmp/niche-intel-2026-09-07-recent/summary.md" TargetMode="External" Id="rId14"/><Relationship Type="http://schemas.openxmlformats.org/officeDocument/2006/relationships/hyperlink" Target="/tmp/niche-intel-2026-09-07-historical/consolidated.md" TargetMode="External" Id="rId15"/><Relationship Type="http://schemas.openxmlformats.org/officeDocument/2006/relationships/hyperlink" Target="/tmp/niche-intel-2026-09-07-synthesis.md" TargetMode="External" Id="rId16"/><Relationship Type="http://schemas.openxmlformats.org/officeDocument/2006/relationships/hyperlink" Target="/tmp/niche-intel-2026-09-07-identified.json" TargetMode="External" Id="rId17"/><Relationship Type="http://schemas.openxmlformats.org/officeDocument/2006/relationships/hyperlink" Target="https://docs.google.com/spreadsheets/d/1vHx4E1tRTR6V3k7NQeHdCrUjDITJVtZA5YPSIFeSins/edit" TargetMode="External" Id="rId18"/><Relationship Type="http://schemas.openxmlformats.org/officeDocument/2006/relationships/hyperlink" Target="https://drive.google.com/file/d/1HfhQkl1-0iAZKIb7pIdIGEjw_o90DkaZ/view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Outsourced Billing, Denials and Authorization Services for Independent Outpatient PT, OT and Speech Therapy Practices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t="inlineStr">
        <is>
          <t>UNKNOWN</t>
        </is>
      </c>
      <c r="D6" t="inlineStr">
        <is>
          <t>15%+ EBITDA margins required</t>
        </is>
      </c>
      <c r="E6" t="inlineStr">
        <is>
          <t>No verified industry EBITDA margin distribution; do not assert 15%+.</t>
        </is>
      </c>
    </row>
    <row r="7">
      <c r="B7" t="inlineStr">
        <is>
          <t>Recurring Revenue</t>
        </is>
      </c>
      <c r="C7" t="inlineStr">
        <is>
          <t>PASS_MODEL_ONLY</t>
        </is>
      </c>
      <c r="D7" t="inlineStr">
        <is>
          <t>Existing recurring/contractual revenue or clear path to convert</t>
        </is>
      </c>
      <c r="E7" t="inlineStr">
        <is>
          <t>Multiple specialist providers offer ongoing claims/denial/collections operations; usage-linked or collections-linked recurring services, not contracted revenue percentage or audited retention.</t>
        </is>
      </c>
    </row>
    <row r="8">
      <c r="B8" t="inlineStr">
        <is>
          <t>Industry Growth</t>
        </is>
      </c>
      <c r="C8" t="inlineStr">
        <is>
          <t>UNKNOWN</t>
        </is>
      </c>
      <c r="D8" t="inlineStr">
        <is>
          <t>Growth rate above GDP (~3%+)</t>
        </is>
      </c>
      <c r="E8" t="inlineStr">
        <is>
          <t>PT employment 12%/10years is approximately1.14% annualized labor growth, not above-GDP niche revenue evidence.</t>
        </is>
      </c>
    </row>
    <row r="9">
      <c r="B9" t="inlineStr">
        <is>
          <t>Growth TAM</t>
        </is>
      </c>
      <c r="C9" t="inlineStr">
        <is>
          <t>UNKNOWN</t>
        </is>
      </c>
      <c r="D9" t="inlineStr">
        <is>
          <t>$500M+ total addressable market (investor floor)</t>
        </is>
      </c>
      <c r="E9" t="inlineStr">
        <is>
          <t>No defensible $500M+ US specialty service-only TAM established.</t>
        </is>
      </c>
    </row>
    <row r="11">
      <c r="B11" s="62" t="inlineStr">
        <is>
          <t>VERDICT</t>
        </is>
      </c>
      <c r="C11" t="inlineStr">
        <is>
          <t>INCOMPLETE</t>
        </is>
      </c>
      <c r="D11" t="inlineStr">
        <is>
          <t>Scored for analyst reference; no approval or activation gate passed</t>
        </is>
      </c>
      <c r="E11" t="inlineStr">
        <is>
          <t>INCOMPLETE; retain for scored analyst review, not certified initial-screen pass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>
        <is>
          <t>UNKNOWN</t>
        </is>
      </c>
      <c r="D14" t="inlineStr">
        <is>
          <t>Determines sprint duration, not go/no-go</t>
        </is>
      </c>
      <c r="E14" t="inlineStr">
        <is>
          <t>PT Billing Services .com describes independent/family ownership; other four ownership unverified. No buy-box-scale independent count established.</t>
        </is>
      </c>
    </row>
    <row r="15">
      <c r="B15" t="inlineStr">
        <is>
          <t>Sprint duration estimate</t>
        </is>
      </c>
      <c r="C15" t="inlineStr">
        <is>
          <t>Unassigned</t>
        </is>
      </c>
      <c r="D15" t="inlineStr">
        <is>
          <t>50+ = long sprint | 20-50 = focused | 10-20 = fast | &lt;10 = very fast</t>
        </is>
      </c>
      <c r="E15" t="inlineStr">
        <is>
          <t>Target TAM informational and unscored.</t>
        </is>
      </c>
    </row>
  </sheetData>
  <pageMargins left="0.75" right="0.75" top="1" bottom="1" header="0.5" footer="0.5"/>
</worksheet>
</file>

<file path=xl/worksheets/sheet2.xml><?xml version="1.0" encoding="utf-8"?>
<ns0:worksheet xmlns:ns0="http://schemas.openxmlformats.org/spreadsheetml/2006/main">
  <ns0:sheetPr>
    <ns0:tabColor theme="0"/>
    <ns0:outlinePr summaryBelow="1" summaryRight="1"/>
    <ns0:pageSetUpPr/>
  </ns0:sheetPr>
  <ns0:dimension ref="B2:J44"/>
  <ns0:sheetViews>
    <ns0:sheetView showGridLines="0" tabSelected="1" topLeftCell="A44" zoomScale="170" zoomScaleNormal="170" workbookViewId="0">
      <ns0:selection activeCell="B27" sqref="B27"/>
    </ns0:sheetView>
  </ns0:sheetViews>
  <ns0:sheetFormatPr baseColWidth="10" defaultColWidth="8.83203125" defaultRowHeight="14"/>
  <ns0:cols>
    <ns0:col width="1.33203125" customWidth="1" style="2" min="1" max="1"/>
    <ns0:col width="47.33203125" customWidth="1" style="2" min="2" max="2"/>
    <ns0:col outlineLevel="1" width="11.83203125" customWidth="1" style="2" min="3" max="4"/>
    <ns0:col outlineLevel="1" width="8.33203125" customWidth="1" style="2" min="5" max="5"/>
    <ns0:col width="3.1640625" bestFit="1" customWidth="1" style="2" min="6" max="6"/>
    <ns0:col outlineLevel="1" width="25.6640625" customWidth="1" style="2" min="7" max="7"/>
    <ns0:col outlineLevel="1" width="32" customWidth="1" style="2" min="8" max="8"/>
    <ns0:col outlineLevel="1" width="23" customWidth="1" style="2" min="9" max="9"/>
    <ns0:col width="32.1640625" customWidth="1" style="2" min="10" max="10"/>
    <ns0:col width="8.83203125" customWidth="1" style="2" min="11" max="11"/>
    <ns0:col width="8.83203125" customWidth="1" style="2" min="12" max="16384"/>
  </ns0:cols>
  <ns0:sheetData>
    <ns0:row r="1" customFormat="1" s="28"/>
    <ns0:row r="2" customFormat="1" s="28">
      <ns0:c r="B2" s="29" t="n"/>
      <ns0:c r="C2" s="30" t="n"/>
      <ns0:c r="D2" s="31" t="n"/>
      <ns0:c r="E2" s="31" t="n"/>
      <ns0:c r="F2" s="31" t="n"/>
      <ns0:c r="G2" s="32" t="n"/>
      <ns0:c r="H2" s="32" t="n"/>
      <ns0:c r="I2" s="30" t="n"/>
    </ns0:row>
    <ns0:row r="3" customFormat="1" s="28">
      <ns0:c r="B3" s="33" t="inlineStr">
        <ns0:is>
          <ns0:t>Outsourced Billing, Denials and Authorization Services for Independent Outpatient PT, OT and Speech Therapy Practices</ns0:t>
        </ns0:is>
      </ns0:c>
      <ns0:c r="C3" s="30" t="n"/>
      <ns0:c r="D3" s="34" t="n"/>
      <ns0:c r="E3" s="34" t="n"/>
      <ns0:c r="F3" s="34" t="n"/>
      <ns0:c r="G3" s="32" t="n"/>
      <ns0:c r="H3" s="32" t="n"/>
      <ns0:c r="I3" s="30" t="n"/>
    </ns0:row>
    <ns0:row r="4" ht="6" customHeight="1">
      <ns0:c r="D4" s="1" t="n"/>
      <ns0:c r="E4" s="1" t="n"/>
      <ns0:c r="F4" s="1" t="n"/>
      <ns0:c r="G4" s="1" t="n"/>
      <ns0:c r="H4" s="1" t="n"/>
    </ns0:row>
    <ns0:row r="5" ht="14.5" customHeight="1">
      <ns0:c r="B5" s="35" t="inlineStr">
        <ns0:is>
          <ns0:t>XX  Industry Scorecard</ns0:t>
        </ns0:is>
      </ns0:c>
      <ns0:c r="C5" s="36" t="inlineStr">
        <ns0:is>
          <ns0:t>Score</ns0:t>
        </ns0:is>
      </ns0:c>
      <ns0:c r="D5" s="37" t="inlineStr">
        <ns0:is>
          <ns0:t>Weight</ns0:t>
        </ns0:is>
      </ns0:c>
      <ns0:c r="E5" s="38" t="inlineStr">
        <ns0:is>
          <ns0:t>Evaluation</ns0:t>
        </ns0:is>
      </ns0:c>
      <ns0:c r="F5" s="39" t="n"/>
      <ns0:c r="G5" s="58" t="inlineStr">
        <ns0:is>
          <ns0:t>Criteria for Evaluation</ns0:t>
        </ns0:is>
      </ns0:c>
      <ns0:c r="H5" s="59" t="n"/>
      <ns0:c r="I5" s="60" t="n"/>
      <ns0:c r="J5" s="40" t="inlineStr">
        <ns0:is>
          <ns0:t>General Commentary / Supporting Data</ns0:t>
        </ns0:is>
      </ns0:c>
    </ns0:row>
    <ns0:row r="6">
      <ns0:c r="B6" s="41" t="n"/>
      <ns0:c r="C6" s="42" t="inlineStr">
        <ns0:is>
          <ns0:t>(1-3)</ns0:t>
        </ns0:is>
      </ns0:c>
      <ns0:c r="D6" s="43" t="inlineStr">
        <ns0:is>
          <ns0:t>(%)</ns0:t>
        </ns0:is>
      </ns0:c>
      <ns0:c r="E6" s="44" t="inlineStr">
        <ns0:is>
          <ns0:t>+/-</ns0:t>
        </ns0:is>
      </ns0:c>
      <ns0:c r="F6" s="45" t="n"/>
      <ns0:c r="G6" s="44" t="inlineStr">
        <ns0:is>
          <ns0:t>+</ns0:t>
        </ns0:is>
      </ns0:c>
      <ns0:c r="H6" s="44" t="inlineStr">
        <ns0:is>
          <ns0:t>+/-</ns0:t>
        </ns0:is>
      </ns0:c>
      <ns0:c r="I6" s="45" t="inlineStr">
        <ns0:is>
          <ns0:t>-</ns0:t>
        </ns0:is>
      </ns0:c>
      <ns0:c r="J6" s="46" t="n"/>
    </ns0:row>
    <ns0:row r="7" ht="6" customHeight="1">
      <ns0:c r="B7" s="4" t="n"/>
      <ns0:c r="C7" s="5" t="n"/>
      <ns0:c r="D7" s="54" t="n"/>
      <ns0:c r="E7" s="55" t="n"/>
      <ns0:c r="F7" s="7" t="n"/>
      <ns0:c r="G7" s="6" t="n"/>
      <ns0:c r="H7" s="6" t="n"/>
      <ns0:c r="I7" s="7" t="n"/>
      <ns0:c r="J7" s="22" t="n"/>
    </ns0:row>
    <ns0:row r="8">
      <ns0:c r="B8" s="4" t="inlineStr">
        <ns0:is>
          <ns0:t>Growth, Penetration and Catalyst</ns0:t>
        </ns0:is>
      </ns0:c>
      <ns0:c r="C8" s="49">
        <ns0:f>AVERAGE(D9:D12)</ns0:f>
        <ns0:v>1.75</ns0:v>
      </ns0:c>
      <ns0:c r="D8" s="15" t="n">
        <ns0:v>0.25</ns0:v>
      </ns0:c>
      <ns0:c r="E8" s="8" t="n"/>
      <ns0:c r="F8" s="9" t="n"/>
      <ns0:c r="I8" s="9" t="n"/>
      <ns0:c r="J8" s="23" t="n"/>
    </ns0:row>
    <ns0:row r="9" ht="65" customHeight="1">
      <ns0:c r="B9" s="10" t="inlineStr">
        <ns0:is>
          <ns0:t>- Growth relative to GDP (5 yr CAGR)</ns0:t>
        </ns0:is>
      </ns0:c>
      <ns0:c r="C9" s="50" t="n"/>
      <ns0:c r="D9" s="56" t="n">
        <ns0:v>1</ns0:v>
      </ns0:c>
      <ns0:c r="E9" s="48" t="inlineStr">
        <ns0:is>
          <ns0:t>-</ns0:t>
        </ns0:is>
      </ns0:c>
      <ns0:c r="F9" s="9" t="n"/>
      <ns0:c r="G9" s="2" t="inlineStr">
        <ns0:is>
          <ns0:t>&gt;3x GDP growth</ns0:t>
        </ns0:is>
      </ns0:c>
      <ns0:c r="H9" s="2" t="inlineStr">
        <ns0:is>
          <ns0:t>1-3x GDP growth</ns0:t>
        </ns0:is>
      </ns0:c>
      <ns0:c r="I9" s="9" t="inlineStr">
        <ns0:is>
          <ns0:t>Growth with GDP or below</ns0:t>
        </ns0:is>
      </ns0:c>
      <ns0:c r="J9" s="63" t="inlineStr">
        <ns0:is>
          <ns0:t>Unknown niche revenue CAGR; BLS 12% employment growth over ten years is not revenue growth. Sources and evidence scope: Evidence &amp; Assumptions tab.</ns0:t>
        </ns0:is>
      </ns0:c>
    </ns0:row>
    <ns0:row r="10" ht="65" customHeight="1">
      <ns0:c r="B10" s="10" t="inlineStr">
        <ns0:is>
          <ns0:t>- Industry penetration</ns0:t>
        </ns0:is>
      </ns0:c>
      <ns0:c r="C10" s="50" t="n"/>
      <ns0:c r="D10" s="56" t="n">
        <ns0:v>2</ns0:v>
      </ns0:c>
      <ns0:c r="E10" s="48" t="inlineStr">
        <ns0:is>
          <ns0:t>+/-</ns0:t>
        </ns0:is>
      </ns0:c>
      <ns0:c r="F10" s="9" t="n"/>
      <ns0:c r="G10" s="2" t="inlineStr">
        <ns0:is>
          <ns0:t>Strong catalyst</ns0:t>
        </ns0:is>
      </ns0:c>
      <ns0:c r="H10" s="2" t="inlineStr">
        <ns0:is>
          <ns0:t>Potential catalyst</ns0:t>
        </ns0:is>
      </ns0:c>
      <ns0:c r="I10" s="9" t="inlineStr">
        <ns0:is>
          <ns0:t>No clear catalyst</ns0:t>
        </ns0:is>
      </ns0:c>
      <ns0:c r="J10" s="63" t="inlineStr">
        <ns0:is>
          <ns0:t>Judgment: payer workflow complexity offers a catalyst; penetration unknown. Sources and evidence scope: Evidence &amp; Assumptions tab.</ns0:t>
        </ns0:is>
      </ns0:c>
    </ns0:row>
    <ns0:row r="11" ht="65" customHeight="1">
      <ns0:c r="B11" s="10" t="inlineStr">
        <ns0:is>
          <ns0:t>- future growth expectations</ns0:t>
        </ns0:is>
      </ns0:c>
      <ns0:c r="C11" s="50" t="n"/>
      <ns0:c r="D11" s="56" t="n">
        <ns0:v>2</ns0:v>
      </ns0:c>
      <ns0:c r="E11" s="48" t="inlineStr">
        <ns0:is>
          <ns0:t>+/-</ns0:t>
        </ns0:is>
      </ns0:c>
      <ns0:c r="F11" s="9" t="n"/>
      <ns0:c r="G11" s="2" t="inlineStr">
        <ns0:is>
          <ns0:t>Mostly Tailwinds</ns0:t>
        </ns0:is>
      </ns0:c>
      <ns0:c r="H11" s="2" t="inlineStr">
        <ns0:is>
          <ns0:t>Mix of Tailwinds/Headwinds</ns0:t>
        </ns0:is>
      </ns0:c>
      <ns0:c r="I11" s="9" t="inlineStr">
        <ns0:is>
          <ns0:t>Mostly Headwinds</ns0:t>
        </ns0:is>
      </ns0:c>
      <ns0:c r="J11" s="63" t="inlineStr">
        <ns0:is>
          <ns0:t>Judgment: recurring demand offset by reimbursement pressure and automation. Sources and evidence scope: Evidence &amp; Assumptions tab.</ns0:t>
        </ns0:is>
      </ns0:c>
    </ns0:row>
    <ns0:row r="12" ht="65" customHeight="1">
      <ns0:c r="B12" s="19" t="inlineStr">
        <ns0:is>
          <ns0:t>- Evidence to support a catalyst</ns0:t>
        </ns0:is>
      </ns0:c>
      <ns0:c r="C12" s="51" t="n"/>
      <ns0:c r="D12" s="57" t="n">
        <ns0:v>2</ns0:v>
      </ns0:c>
      <ns0:c r="E12" s="48" t="inlineStr">
        <ns0:is>
          <ns0:t>+/-</ns0:t>
        </ns0:is>
      </ns0:c>
      <ns0:c r="F12" s="21" t="n"/>
      <ns0:c r="G12" s="20" t="inlineStr">
        <ns0:is>
          <ns0:t>Strong catalyst</ns0:t>
        </ns0:is>
      </ns0:c>
      <ns0:c r="H12" s="20" t="inlineStr">
        <ns0:is>
          <ns0:t>Potential catalyst</ns0:t>
        </ns0:is>
      </ns0:c>
      <ns0:c r="I12" s="21" t="inlineStr">
        <ns0:is>
          <ns0:t>No clear catalyst</ns0:t>
        </ns0:is>
      </ns0:c>
      <ns0:c r="J12" s="64" t="inlineStr">
        <ns0:is>
          <ns0:t>Specialist vendor offerings and clinic newsletter support workflow need, not measured acceleration. Sources and evidence scope: Evidence &amp; Assumptions tab.</ns0:t>
        </ns0:is>
      </ns0:c>
    </ns0:row>
    <ns0:row r="13" ht="12.75" customHeight="1">
      <ns0:c r="B13" s="4" t="inlineStr">
        <ns0:is>
          <ns0:t>Size and Fragmentation</ns0:t>
        </ns0:is>
      </ns0:c>
      <ns0:c r="C13" s="49">
        <ns0:f>AVERAGE(D14:D15)</ns0:f>
        <ns0:v>1.0</ns0:v>
      </ns0:c>
      <ns0:c r="D13" s="15" t="n">
        <ns0:v>0.1</ns0:v>
      </ns0:c>
      <ns0:c r="E13" s="8" t="n"/>
      <ns0:c r="F13" s="9" t="n"/>
      <ns0:c r="I13" s="9" t="n"/>
      <ns0:c r="J13" s="23" t="n"/>
    </ns0:row>
    <ns0:row r="14" ht="65" customHeight="1">
      <ns0:c r="B14" s="10" t="inlineStr">
        <ns0:is>
          <ns0:t>- Number of players</ns0:t>
        </ns0:is>
      </ns0:c>
      <ns0:c r="C14" s="50" t="n"/>
      <ns0:c r="D14" s="56" t="n">
        <ns0:v>1</ns0:v>
      </ns0:c>
      <ns0:c r="E14" s="48" t="inlineStr">
        <ns0:is>
          <ns0:t>-</ns0:t>
        </ns0:is>
      </ns0:c>
      <ns0:c r="F14" s="9" t="n"/>
      <ns0:c r="G14" s="2" t="inlineStr">
        <ns0:is>
          <ns0:t>Thousands of players</ns0:t>
        </ns0:is>
      </ns0:c>
      <ns0:c r="H14" s="2" t="inlineStr">
        <ns0:is>
          <ns0:t>Hundreds of players</ns0:t>
        </ns0:is>
      </ns0:c>
      <ns0:c r="I14" s="2" t="inlineStr">
        <ns0:is>
          <ns0:t>Dozens of players</ns0:t>
        </ns0:is>
      </ns0:c>
      <ns0:c r="J14" s="63" t="inlineStr">
        <ns0:is>
          <ns0:t>Unknown full industry population; five observed brands do not establish a population tier. Acquisition target TAM is unscored. Sources and evidence scope: Evidence &amp; Assumptions tab.</ns0:t>
        </ns0:is>
      </ns0:c>
    </ns0:row>
    <ns0:row r="15" ht="65" customHeight="1">
      <ns0:c r="B15" s="19" t="inlineStr">
        <ns0:is>
          <ns0:t>- Market share concentration</ns0:t>
        </ns0:is>
      </ns0:c>
      <ns0:c r="C15" s="51" t="n"/>
      <ns0:c r="D15" s="57" t="n">
        <ns0:v>1</ns0:v>
      </ns0:c>
      <ns0:c r="E15" s="48" t="inlineStr">
        <ns0:is>
          <ns0:t>-</ns0:t>
        </ns0:is>
      </ns0:c>
      <ns0:c r="F15" s="21" t="n"/>
      <ns0:c r="G15" s="20" t="inlineStr">
        <ns0:is>
          <ns0:t>Largest have &lt;10% mkt sh.</ns0:t>
        </ns0:is>
      </ns0:c>
      <ns0:c r="H15" s="20" t="inlineStr">
        <ns0:is>
          <ns0:t>Largest have &lt;25% mkt sh.</ns0:t>
        </ns0:is>
      </ns0:c>
      <ns0:c r="I15" s="21" t="inlineStr">
        <ns0:is>
          <ns0:t>Largest have &gt;50% mkt sh.</ns0:t>
        </ns0:is>
      </ns0:c>
      <ns0:c r="J15" s="64" t="inlineStr">
        <ns0:is>
          <ns0:t>Unknown narrow-niche share concentration. Sources and evidence scope: Evidence &amp; Assumptions tab.</ns0:t>
        </ns0:is>
      </ns0:c>
    </ns0:row>
    <ns0:row r="16" ht="12.75" customHeight="1">
      <ns0:c r="B16" s="4" t="inlineStr">
        <ns0:is>
          <ns0:t>Industry Economics</ns0:t>
        </ns0:is>
      </ns0:c>
      <ns0:c r="C16" s="49">
        <ns0:f>AVERAGE(D17:D19)</ns0:f>
        <ns0:v>1.0</ns0:v>
      </ns0:c>
      <ns0:c r="D16" s="15" t="n">
        <ns0:v>0.1</ns0:v>
      </ns0:c>
      <ns0:c r="E16" s="8" t="n"/>
      <ns0:c r="F16" s="9" t="n"/>
      <ns0:c r="I16" s="9" t="n"/>
      <ns0:c r="J16" s="23" t="n"/>
    </ns0:row>
    <ns0:row r="17" ht="65" customHeight="1">
      <ns0:c r="B17" s="10" t="inlineStr">
        <ns0:is>
          <ns0:t>- Average industry gross margins</ns0:t>
        </ns0:is>
      </ns0:c>
      <ns0:c r="C17" s="50" t="n"/>
      <ns0:c r="D17" s="56" t="n">
        <ns0:v>1</ns0:v>
      </ns0:c>
      <ns0:c r="E17" s="48" t="inlineStr">
        <ns0:is>
          <ns0:t>-</ns0:t>
        </ns0:is>
      </ns0:c>
      <ns0:c r="F17" s="9" t="n"/>
      <ns0:c r="G17" s="2" t="inlineStr">
        <ns0:is>
          <ns0:t>60-90% gross margins</ns0:t>
        </ns0:is>
      </ns0:c>
      <ns0:c r="H17" s="2" t="inlineStr">
        <ns0:is>
          <ns0:t>40-60% gross margins</ns0:t>
        </ns0:is>
      </ns0:c>
      <ns0:c r="I17" s="9" t="inlineStr">
        <ns0:is>
          <ns0:t>10-40% gross margins</ns0:t>
        </ns0:is>
      </ns0:c>
      <ns0:c r="J17" s="63" t="inlineStr">
        <ns0:is>
          <ns0:t>Unknown industry gross margins. Sources and evidence scope: Evidence &amp; Assumptions tab.</ns0:t>
        </ns0:is>
      </ns0:c>
    </ns0:row>
    <ns0:row r="18" ht="65" customHeight="1">
      <ns0:c r="B18" s="10" t="inlineStr">
        <ns0:is>
          <ns0:t>- Average industry EBITDA margins</ns0:t>
        </ns0:is>
      </ns0:c>
      <ns0:c r="C18" s="50" t="n"/>
      <ns0:c r="D18" s="56" t="n">
        <ns0:v>1</ns0:v>
      </ns0:c>
      <ns0:c r="E18" s="48" t="inlineStr">
        <ns0:is>
          <ns0:t>-</ns0:t>
        </ns0:is>
      </ns0:c>
      <ns0:c r="F18" s="9" t="n"/>
      <ns0:c r="G18" s="2" t="inlineStr">
        <ns0:is>
          <ns0:t>30-60% EBITDA margins</ns0:t>
        </ns0:is>
      </ns0:c>
      <ns0:c r="H18" s="2" t="inlineStr">
        <ns0:is>
          <ns0:t>10-30% EBITDA margins</ns0:t>
        </ns0:is>
      </ns0:c>
      <ns0:c r="I18" s="9" t="inlineStr">
        <ns0:is>
          <ns0:t>&lt;10% EBITDA margins</ns0:t>
        </ns0:is>
      </ns0:c>
      <ns0:c r="J18" s="63" t="inlineStr">
        <ns0:is>
          <ns0:t>Unknown normalized industry EBITDA margins. Sources and evidence scope: Evidence &amp; Assumptions tab.</ns0:t>
        </ns0:is>
      </ns0:c>
    </ns0:row>
    <ns0:row r="19" ht="65" customHeight="1">
      <ns0:c r="B19" s="19" t="inlineStr">
        <ns0:is>
          <ns0:t>- Average industry ROTC</ns0:t>
        </ns0:is>
      </ns0:c>
      <ns0:c r="C19" s="51" t="n"/>
      <ns0:c r="D19" s="57" t="n">
        <ns0:v>1</ns0:v>
      </ns0:c>
      <ns0:c r="E19" s="48" t="inlineStr">
        <ns0:is>
          <ns0:t>-</ns0:t>
        </ns0:is>
      </ns0:c>
      <ns0:c r="F19" s="21" t="n"/>
      <ns0:c r="G19" s="20" t="inlineStr">
        <ns0:is>
          <ns0:t>&gt;20% ROTC</ns0:t>
        </ns0:is>
      </ns0:c>
      <ns0:c r="H19" s="20" t="inlineStr">
        <ns0:is>
          <ns0:t>10-20% ROTC</ns0:t>
        </ns0:is>
      </ns0:c>
      <ns0:c r="I19" s="21" t="inlineStr">
        <ns0:is>
          <ns0:t>&lt;10% ROTC</ns0:t>
        </ns0:is>
      </ns0:c>
      <ns0:c r="J19" s="64" t="inlineStr">
        <ns0:is>
          <ns0:t>Unknown industry ROTC. Sources and evidence scope: Evidence &amp; Assumptions tab.</ns0:t>
        </ns0:is>
      </ns0:c>
    </ns0:row>
    <ns0:row r="20" ht="12.75" customHeight="1">
      <ns0:c r="B20" s="4" t="inlineStr">
        <ns0:is>
          <ns0:t>Mission Criticality</ns0:t>
        </ns0:is>
      </ns0:c>
      <ns0:c r="C20" s="49">
        <ns0:f>AVERAGE(D21:D23)</ns0:f>
        <ns0:v>2.3333333333333335</ns0:v>
      </ns0:c>
      <ns0:c r="D20" s="15" t="n">
        <ns0:v>0.15</ns0:v>
      </ns0:c>
      <ns0:c r="E20" s="8" t="n"/>
      <ns0:c r="F20" s="9" t="n"/>
      <ns0:c r="I20" s="9" t="n"/>
      <ns0:c r="J20" s="23" t="n"/>
    </ns0:row>
    <ns0:row r="21" ht="65" customHeight="1">
      <ns0:c r="B21" s="10" t="inlineStr">
        <ns0:is>
          <ns0:t>- Average customer feedback</ns0:t>
        </ns0:is>
      </ns0:c>
      <ns0:c r="C21" s="50" t="n"/>
      <ns0:c r="D21" s="56" t="n">
        <ns0:v>2</ns0:v>
      </ns0:c>
      <ns0:c r="E21" s="48" t="inlineStr">
        <ns0:is>
          <ns0:t>+/-</ns0:t>
        </ns0:is>
      </ns0:c>
      <ns0:c r="F21" s="9" t="n"/>
      <ns0:c r="G21" s="2" t="inlineStr">
        <ns0:is>
          <ns0:t>Positive customer feedback</ns0:t>
        </ns0:is>
      </ns0:c>
      <ns0:c r="H21" s="2" t="inlineStr">
        <ns0:is>
          <ns0:t>Neutral feedback</ns0:t>
        </ns0:is>
      </ns0:c>
      <ns0:c r="I21" s="9" t="inlineStr">
        <ns0:is>
          <ns0:t>Negative feedback</ns0:t>
        </ns0:is>
      </ns0:c>
      <ns0:c r="J21" s="63" t="inlineStr">
        <ns0:is>
          <ns0:t>Vendor descriptions are not independent customer feedback; neutral assumption. Sources and evidence scope: Evidence &amp; Assumptions tab.</ns0:t>
        </ns0:is>
      </ns0:c>
    </ns0:row>
    <ns0:row r="22" ht="65" customHeight="1">
      <ns0:c r="B22" s="10" t="inlineStr">
        <ns0:is>
          <ns0:t>- Clarity of value proposition</ns0:t>
        </ns0:is>
      </ns0:c>
      <ns0:c r="C22" s="50" t="n"/>
      <ns0:c r="D22" s="56" t="n">
        <ns0:v>3</ns0:v>
      </ns0:c>
      <ns0:c r="E22" s="48" t="inlineStr">
        <ns0:is>
          <ns0:t>+</ns0:t>
        </ns0:is>
      </ns0:c>
      <ns0:c r="F22" s="9" t="n"/>
      <ns0:c r="G22" s="2" t="inlineStr">
        <ns0:is>
          <ns0:t>Clear value proposition</ns0:t>
        </ns0:is>
      </ns0:c>
      <ns0:c r="H22" s="2" t="inlineStr">
        <ns0:is>
          <ns0:t>Weaker value proposition</ns0:t>
        </ns0:is>
      </ns0:c>
      <ns0:c r="I22" s="9" t="inlineStr">
        <ns0:is>
          <ns0:t>Unclear value proposition</ns0:t>
        </ns0:is>
      </ns0:c>
      <ns0:c r="J22" s="63" t="inlineStr">
        <ns0:is>
          <ns0:t>Judgment grounded in vendor services: collecting payer revenue is directly valuable. Sources and evidence scope: Evidence &amp; Assumptions tab.</ns0:t>
        </ns0:is>
      </ns0:c>
    </ns0:row>
    <ns0:row r="23" ht="65" customHeight="1">
      <ns0:c r="B23" s="19" t="inlineStr">
        <ns0:is>
          <ns0:t>- Customer switching costs</ns0:t>
        </ns0:is>
      </ns0:c>
      <ns0:c r="C23" s="51" t="n"/>
      <ns0:c r="D23" s="57" t="n">
        <ns0:v>2</ns0:v>
      </ns0:c>
      <ns0:c r="E23" s="48" t="inlineStr">
        <ns0:is>
          <ns0:t>+/-</ns0:t>
        </ns0:is>
      </ns0:c>
      <ns0:c r="F23" s="21" t="n"/>
      <ns0:c r="G23" s="20" t="inlineStr">
        <ns0:is>
          <ns0:t>High customers switch costs</ns0:t>
        </ns0:is>
      </ns0:c>
      <ns0:c r="H23" s="20" t="inlineStr">
        <ns0:is>
          <ns0:t>Can be replaced w/effort</ns0:t>
        </ns0:is>
      </ns0:c>
      <ns0:c r="I23" s="21" t="inlineStr">
        <ns0:is>
          <ns0:t>Easy to replace</ns0:t>
        </ns0:is>
      </ns0:c>
      <ns0:c r="J23" s="64" t="inlineStr">
        <ns0:is>
          <ns0:t>Judgment: workflow and payer-history migration require effort; retention unverified. Sources and evidence scope: Evidence &amp; Assumptions tab.</ns0:t>
        </ns0:is>
      </ns0:c>
    </ns0:row>
    <ns0:row r="24" ht="12.75" customHeight="1">
      <ns0:c r="B24" s="4" t="inlineStr">
        <ns0:is>
          <ns0:t>Exogeneous Risks</ns0:t>
        </ns0:is>
      </ns0:c>
      <ns0:c r="C24" s="49">
        <ns0:f>AVERAGE(D25:D29)</ns0:f>
        <ns0:v>1.8</ns0:v>
      </ns0:c>
      <ns0:c r="D24" s="15" t="n">
        <ns0:v>0.1</ns0:v>
      </ns0:c>
      <ns0:c r="E24" s="8" t="n"/>
      <ns0:c r="F24" s="9" t="n"/>
      <ns0:c r="I24" s="9" t="n"/>
      <ns0:c r="J24" s="23" t="n"/>
    </ns0:row>
    <ns0:row r="25" ht="65" customHeight="1">
      <ns0:c r="B25" s="10" t="inlineStr">
        <ns0:is>
          <ns0:t>- Visibility on tech adoption and obsolescence</ns0:t>
        </ns0:is>
      </ns0:c>
      <ns0:c r="C25" s="50" t="n"/>
      <ns0:c r="D25" s="56" t="n">
        <ns0:v>1</ns0:v>
      </ns0:c>
      <ns0:c r="E25" s="48" t="inlineStr">
        <ns0:is>
          <ns0:t>-</ns0:t>
        </ns0:is>
      </ns0:c>
      <ns0:c r="F25" s="9" t="n"/>
      <ns0:c r="G25" s="2" t="inlineStr">
        <ns0:is>
          <ns0:t>High visibility</ns0:t>
        </ns0:is>
      </ns0:c>
      <ns0:c r="H25" s="2" t="inlineStr">
        <ns0:is>
          <ns0:t>Some visibility</ns0:t>
        </ns0:is>
      </ns0:c>
      <ns0:c r="I25" s="9" t="inlineStr">
        <ns0:is>
          <ns0:t>No visibility</ns0:t>
        </ns0:is>
      </ns0:c>
      <ns0:c r="J25" s="63" t="inlineStr">
        <ns0:is>
          <ns0:t>Judgment: AI and EMR bundling may commoditize basic claims work. Sources and evidence scope: Evidence &amp; Assumptions tab.</ns0:t>
        </ns0:is>
      </ns0:c>
    </ns0:row>
    <ns0:row r="26" ht="65" customHeight="1">
      <ns0:c r="B26" s="10" t="inlineStr">
        <ns0:is>
          <ns0:t>- Regulatory risk and frequency of changes</ns0:t>
        </ns0:is>
      </ns0:c>
      <ns0:c r="C26" s="50" t="n"/>
      <ns0:c r="D26" s="56" t="n">
        <ns0:v>2</ns0:v>
      </ns0:c>
      <ns0:c r="E26" s="48" t="inlineStr">
        <ns0:is>
          <ns0:t>+/-</ns0:t>
        </ns0:is>
      </ns0:c>
      <ns0:c r="F26" s="9" t="n"/>
      <ns0:c r="G26" s="2" t="inlineStr">
        <ns0:is>
          <ns0:t>Low risk and frequency</ns0:t>
        </ns0:is>
      </ns0:c>
      <ns0:c r="H26" s="2" t="inlineStr">
        <ns0:is>
          <ns0:t>Some risk and frequency</ns0:t>
        </ns0:is>
      </ns0:c>
      <ns0:c r="I26" s="9" t="inlineStr">
        <ns0:is>
          <ns0:t>High risk and frequency</ns0:t>
        </ns0:is>
      </ns0:c>
      <ns0:c r="J26" s="63" t="inlineStr">
        <ns0:is>
          <ns0:t>Judgment: changing payer rules create both demand and operating risk. Sources and evidence scope: Evidence &amp; Assumptions tab.</ns0:t>
        </ns0:is>
      </ns0:c>
    </ns0:row>
    <ns0:row r="27" ht="65" customHeight="1">
      <ns0:c r="B27" s="10" t="inlineStr">
        <ns0:is>
          <ns0:t>- Liability risks</ns0:t>
        </ns0:is>
      </ns0:c>
      <ns0:c r="C27" s="50" t="n"/>
      <ns0:c r="D27" s="56" t="n">
        <ns0:v>2</ns0:v>
      </ns0:c>
      <ns0:c r="E27" s="48" t="inlineStr">
        <ns0:is>
          <ns0:t>+/-</ns0:t>
        </ns0:is>
      </ns0:c>
      <ns0:c r="F27" s="9" t="n"/>
      <ns0:c r="G27" s="2" t="inlineStr">
        <ns0:is>
          <ns0:t>Low liability risks</ns0:t>
        </ns0:is>
      </ns0:c>
      <ns0:c r="H27" s="2" t="inlineStr">
        <ns0:is>
          <ns0:t>Some liability risks</ns0:t>
        </ns0:is>
      </ns0:c>
      <ns0:c r="I27" s="9" t="inlineStr">
        <ns0:is>
          <ns0:t>High liability risks</ns0:t>
        </ns0:is>
      </ns0:c>
      <ns0:c r="J27" s="63" t="inlineStr">
        <ns0:is>
          <ns0:t>Judgment: PHI and coding errors create liability; loss history unknown. Sources and evidence scope: Evidence &amp; Assumptions tab.</ns0:t>
        </ns0:is>
      </ns0:c>
    </ns0:row>
    <ns0:row r="28" ht="65" customHeight="1">
      <ns0:c r="B28" s="10" t="inlineStr">
        <ns0:is>
          <ns0:t>- Cyclicality</ns0:t>
        </ns0:is>
      </ns0:c>
      <ns0:c r="C28" s="50" t="n"/>
      <ns0:c r="D28" s="56" t="n">
        <ns0:v>2</ns0:v>
      </ns0:c>
      <ns0:c r="E28" s="48" t="inlineStr">
        <ns0:is>
          <ns0:t>+/-</ns0:t>
        </ns0:is>
      </ns0:c>
      <ns0:c r="F28" s="9" t="n"/>
      <ns0:c r="G28" s="2" t="inlineStr">
        <ns0:is>
          <ns0:t>Low cyclicality</ns0:t>
        </ns0:is>
      </ns0:c>
      <ns0:c r="H28" s="2" t="inlineStr">
        <ns0:is>
          <ns0:t>Some cyclicality</ns0:t>
        </ns0:is>
      </ns0:c>
      <ns0:c r="I28" s="9" t="inlineStr">
        <ns0:is>
          <ns0:t>High cyclicality</ns0:t>
        </ns0:is>
      </ns0:c>
      <ns0:c r="J28" s="63" t="inlineStr">
        <ns0:is>
          <ns0:t>Judgment: repeat visits support demand but payer and clinic economics matter. Sources and evidence scope: Evidence &amp; Assumptions tab.</ns0:t>
        </ns0:is>
      </ns0:c>
    </ns0:row>
    <ns0:row r="29" ht="65" customHeight="1">
      <ns0:c r="B29" s="19" t="inlineStr">
        <ns0:is>
          <ns0:t>- Exposure to trends</ns0:t>
        </ns0:is>
      </ns0:c>
      <ns0:c r="C29" s="51" t="n"/>
      <ns0:c r="D29" s="57" t="n">
        <ns0:v>2</ns0:v>
      </ns0:c>
      <ns0:c r="E29" s="48" t="inlineStr">
        <ns0:is>
          <ns0:t>+/-</ns0:t>
        </ns0:is>
      </ns0:c>
      <ns0:c r="F29" s="21" t="n"/>
      <ns0:c r="G29" s="20" t="inlineStr">
        <ns0:is>
          <ns0:t>High resiliency to trends</ns0:t>
        </ns0:is>
      </ns0:c>
      <ns0:c r="H29" s="20" t="inlineStr">
        <ns0:is>
          <ns0:t>Some resiliency to trends</ns0:t>
        </ns0:is>
      </ns0:c>
      <ns0:c r="I29" s="21" t="inlineStr">
        <ns0:is>
          <ns0:t>Changing trends</ns0:t>
        </ns0:is>
      </ns0:c>
      <ns0:c r="J29" s="64" t="inlineStr">
        <ns0:is>
          <ns0:t>Judgment: aging and outsourcing balanced by reimbursement and automation. Sources and evidence scope: Evidence &amp; Assumptions tab.</ns0:t>
        </ns0:is>
      </ns0:c>
    </ns0:row>
    <ns0:row r="30" ht="12.75" customHeight="1">
      <ns0:c r="B30" s="4" t="inlineStr">
        <ns0:is>
          <ns0:t>Porter's Five Forces</ns0:t>
        </ns0:is>
      </ns0:c>
      <ns0:c r="C30" s="49">
        <ns0:f>AVERAGE(D31:D36)</ns0:f>
        <ns0:v>1.6666666666666667</ns0:v>
      </ns0:c>
      <ns0:c r="D30" s="15" t="n">
        <ns0:v>0.15</ns0:v>
      </ns0:c>
      <ns0:c r="E30" s="8" t="n"/>
      <ns0:c r="F30" s="9" t="n"/>
      <ns0:c r="I30" s="9" t="n"/>
      <ns0:c r="J30" s="23" t="n"/>
    </ns0:row>
    <ns0:row r="31" ht="65" customHeight="1">
      <ns0:c r="B31" s="10" t="inlineStr">
        <ns0:is>
          <ns0:t>- Prevalence of VC-backed startups</ns0:t>
        </ns0:is>
      </ns0:c>
      <ns0:c r="C31" s="50" t="n"/>
      <ns0:c r="D31" s="56" t="n">
        <ns0:v>2</ns0:v>
      </ns0:c>
      <ns0:c r="E31" s="48" t="inlineStr">
        <ns0:is>
          <ns0:t>+/-</ns0:t>
        </ns0:is>
      </ns0:c>
      <ns0:c r="F31" s="9" t="n"/>
      <ns0:c r="G31" s="2" t="inlineStr">
        <ns0:is>
          <ns0:t>Low</ns0:t>
        </ns0:is>
      </ns0:c>
      <ns0:c r="H31" s="2" t="inlineStr">
        <ns0:is>
          <ns0:t>Some</ns0:t>
        </ns0:is>
      </ns0:c>
      <ns0:c r="I31" s="9" t="inlineStr">
        <ns0:is>
          <ns0:t>High</ns0:t>
        </ns0:is>
      </ns0:c>
      <ns0:c r="J31" s="63" t="inlineStr">
        <ns0:is>
          <ns0:t>Unknown exact-niche VC prevalence; neutral assumption. Sources and evidence scope: Evidence &amp; Assumptions tab.</ns0:t>
        </ns0:is>
      </ns0:c>
    </ns0:row>
    <ns0:row r="32" ht="65" customHeight="1">
      <ns0:c r="B32" s="10" t="inlineStr">
        <ns0:is>
          <ns0:t>- Level of competition</ns0:t>
        </ns0:is>
      </ns0:c>
      <ns0:c r="C32" s="50" t="n"/>
      <ns0:c r="D32" s="56" t="n">
        <ns0:v>1</ns0:v>
      </ns0:c>
      <ns0:c r="E32" s="48" t="inlineStr">
        <ns0:is>
          <ns0:t>-</ns0:t>
        </ns0:is>
      </ns0:c>
      <ns0:c r="F32" s="9" t="n"/>
      <ns0:c r="G32" s="2" t="inlineStr">
        <ns0:is>
          <ns0:t>Low</ns0:t>
        </ns0:is>
      </ns0:c>
      <ns0:c r="H32" s="2" t="inlineStr">
        <ns0:is>
          <ns0:t>Some</ns0:t>
        </ns0:is>
      </ns0:c>
      <ns0:c r="I32" s="9" t="inlineStr">
        <ns0:is>
          <ns0:t>High</ns0:t>
        </ns0:is>
      </ns0:c>
      <ns0:c r="J32" s="63" t="inlineStr">
        <ns0:is>
          <ns0:t>WebPT offers competing bundled RCM; specialist competition observed. Sources and evidence scope: Evidence &amp; Assumptions tab.</ns0:t>
        </ns0:is>
      </ns0:c>
    </ns0:row>
    <ns0:row r="33" ht="65" customHeight="1">
      <ns0:c r="B33" s="10" t="inlineStr">
        <ns0:is>
          <ns0:t>- State of new entrants</ns0:t>
        </ns0:is>
      </ns0:c>
      <ns0:c r="C33" s="50" t="n"/>
      <ns0:c r="D33" s="56" t="n">
        <ns0:v>2</ns0:v>
      </ns0:c>
      <ns0:c r="E33" s="48" t="inlineStr">
        <ns0:is>
          <ns0:t>+/-</ns0:t>
        </ns0:is>
      </ns0:c>
      <ns0:c r="F33" s="9" t="n"/>
      <ns0:c r="G33" s="2" t="inlineStr">
        <ns0:is>
          <ns0:t>Low</ns0:t>
        </ns0:is>
      </ns0:c>
      <ns0:c r="H33" s="2" t="inlineStr">
        <ns0:is>
          <ns0:t>Some</ns0:t>
        </ns0:is>
      </ns0:c>
      <ns0:c r="I33" s="9" t="inlineStr">
        <ns0:is>
          <ns0:t>High</ns0:t>
        </ns0:is>
      </ns0:c>
      <ns0:c r="J33" s="63" t="inlineStr">
        <ns0:is>
          <ns0:t>Judgment: entry possible but therapy expertise and references matter. Sources and evidence scope: Evidence &amp; Assumptions tab.</ns0:t>
        </ns0:is>
      </ns0:c>
    </ns0:row>
    <ns0:row r="34" ht="65" customHeight="1">
      <ns0:c r="B34" s="10" t="inlineStr">
        <ns0:is>
          <ns0:t>- Level of supplier power</ns0:t>
        </ns0:is>
      </ns0:c>
      <ns0:c r="C34" s="50" t="n"/>
      <ns0:c r="D34" s="56" t="n">
        <ns0:v>2</ns0:v>
      </ns0:c>
      <ns0:c r="E34" s="48" t="inlineStr">
        <ns0:is>
          <ns0:t>+/-</ns0:t>
        </ns0:is>
      </ns0:c>
      <ns0:c r="F34" s="9" t="n"/>
      <ns0:c r="G34" s="2" t="inlineStr">
        <ns0:is>
          <ns0:t>Low</ns0:t>
        </ns0:is>
      </ns0:c>
      <ns0:c r="H34" s="2" t="inlineStr">
        <ns0:is>
          <ns0:t>Some</ns0:t>
        </ns0:is>
      </ns0:c>
      <ns0:c r="I34" s="9" t="inlineStr">
        <ns0:is>
          <ns0:t>High</ns0:t>
        </ns0:is>
      </ns0:c>
      <ns0:c r="J34" s="63" t="inlineStr">
        <ns0:is>
          <ns0:t>Judgment: biller talent and EMR access matter; concentration unknown. Sources and evidence scope: Evidence &amp; Assumptions tab.</ns0:t>
        </ns0:is>
      </ns0:c>
    </ns0:row>
    <ns0:row r="35" ht="65" customHeight="1">
      <ns0:c r="B35" s="10" t="inlineStr">
        <ns0:is>
          <ns0:t>- Level of customer power</ns0:t>
        </ns0:is>
      </ns0:c>
      <ns0:c r="C35" s="50" t="n"/>
      <ns0:c r="D35" s="56" t="n">
        <ns0:v>2</ns0:v>
      </ns0:c>
      <ns0:c r="E35" s="48" t="inlineStr">
        <ns0:is>
          <ns0:t>+/-</ns0:t>
        </ns0:is>
      </ns0:c>
      <ns0:c r="F35" s="9" t="n"/>
      <ns0:c r="G35" s="2" t="inlineStr">
        <ns0:is>
          <ns0:t>Low</ns0:t>
        </ns0:is>
      </ns0:c>
      <ns0:c r="H35" s="2" t="inlineStr">
        <ns0:is>
          <ns0:t>Some</ns0:t>
        </ns0:is>
      </ns0:c>
      <ns0:c r="I35" s="9" t="inlineStr">
        <ns0:is>
          <ns0:t>High</ns0:t>
        </ns0:is>
      </ns0:c>
      <ns0:c r="J35" s="63" t="inlineStr">
        <ns0:is>
          <ns0:t>Judgment: clinics can select competing billers; concentration unknown. Sources and evidence scope: Evidence &amp; Assumptions tab.</ns0:t>
        </ns0:is>
      </ns0:c>
    </ns0:row>
    <ns0:row r="36" ht="65" customHeight="1">
      <ns0:c r="B36" s="19" t="inlineStr">
        <ns0:is>
          <ns0:t>- Threat of substitutes</ns0:t>
        </ns0:is>
      </ns0:c>
      <ns0:c r="C36" s="51" t="n"/>
      <ns0:c r="D36" s="57" t="n">
        <ns0:v>1</ns0:v>
      </ns0:c>
      <ns0:c r="E36" s="48" t="inlineStr">
        <ns0:is>
          <ns0:t>-</ns0:t>
        </ns0:is>
      </ns0:c>
      <ns0:c r="F36" s="21" t="n"/>
      <ns0:c r="G36" s="20" t="inlineStr">
        <ns0:is>
          <ns0:t>Low</ns0:t>
        </ns0:is>
      </ns0:c>
      <ns0:c r="H36" s="20" t="inlineStr">
        <ns0:is>
          <ns0:t>Some</ns0:t>
        </ns0:is>
      </ns0:c>
      <ns0:c r="I36" s="21" t="inlineStr">
        <ns0:is>
          <ns0:t>High</ns0:t>
        </ns0:is>
      </ns0:c>
      <ns0:c r="J36" s="64" t="inlineStr">
        <ns0:is>
          <ns0:t>Judgment: in-house teams and platform bundles are substitutes. Sources and evidence scope: Evidence &amp; Assumptions tab.</ns0:t>
        </ns0:is>
      </ns0:c>
    </ns0:row>
    <ns0:row r="37" ht="12.75" customHeight="1">
      <ns0:c r="B37" s="4" t="inlineStr">
        <ns0:is>
          <ns0:t>Value Creation Opportunities</ns0:t>
        </ns0:is>
      </ns0:c>
      <ns0:c r="C37" s="49">
        <ns0:f>AVERAGE(D38:D39)</ns0:f>
        <ns0:v>2.5</ns0:v>
      </ns0:c>
      <ns0:c r="D37" s="15" t="n">
        <ns0:v>0.1</ns0:v>
      </ns0:c>
      <ns0:c r="E37" s="8" t="n"/>
      <ns0:c r="F37" s="9" t="n"/>
      <ns0:c r="I37" s="9" t="n"/>
      <ns0:c r="J37" s="23" t="n"/>
    </ns0:row>
    <ns0:row r="38" ht="65" customHeight="1">
      <ns0:c r="B38" s="10" t="inlineStr">
        <ns0:is>
          <ns0:t>- General complexity of businesses</ns0:t>
        </ns0:is>
      </ns0:c>
      <ns0:c r="C38" s="50" t="n"/>
      <ns0:c r="D38" s="56" t="n">
        <ns0:v>2</ns0:v>
      </ns0:c>
      <ns0:c r="E38" s="48" t="inlineStr">
        <ns0:is>
          <ns0:t>+/-</ns0:t>
        </ns0:is>
      </ns0:c>
      <ns0:c r="F38" s="9" t="n"/>
      <ns0:c r="G38" s="2" t="inlineStr">
        <ns0:is>
          <ns0:t>Simple businesses</ns0:t>
        </ns0:is>
      </ns0:c>
      <ns0:c r="H38" s="2" t="inlineStr">
        <ns0:is>
          <ns0:t>Moderate complexity</ns0:t>
        </ns0:is>
      </ns0:c>
      <ns0:c r="I38" s="9" t="inlineStr">
        <ns0:is>
          <ns0:t>Complex businesses</ns0:t>
        </ns0:is>
      </ns0:c>
      <ns0:c r="J38" s="63" t="inlineStr">
        <ns0:is>
          <ns0:t>Judgment: labor and payer processes create moderate operating complexity. Sources and evidence scope: Evidence &amp; Assumptions tab.</ns0:t>
        </ns0:is>
      </ns0:c>
    </ns0:row>
    <ns0:row r="39" ht="65" customHeight="1">
      <ns0:c r="B39" s="19" t="inlineStr">
        <ns0:is>
          <ns0:t>- Professionalization opportunities</ns0:t>
        </ns0:is>
      </ns0:c>
      <ns0:c r="C39" s="51" t="n"/>
      <ns0:c r="D39" s="57" t="n">
        <ns0:v>3</ns0:v>
      </ns0:c>
      <ns0:c r="E39" s="48" t="inlineStr">
        <ns0:is>
          <ns0:t>+</ns0:t>
        </ns0:is>
      </ns0:c>
      <ns0:c r="F39" s="21" t="n"/>
      <ns0:c r="G39" s="20" t="inlineStr">
        <ns0:is>
          <ns0:t>Several actionable levers</ns0:t>
        </ns0:is>
      </ns0:c>
      <ns0:c r="H39" s="20" t="inlineStr">
        <ns0:is>
          <ns0:t>Some actionable levers</ns0:t>
        </ns0:is>
      </ns0:c>
      <ns0:c r="I39" s="21" t="inlineStr">
        <ns0:is>
          <ns0:t>Technical skills required</ns0:t>
        </ns0:is>
      </ns0:c>
      <ns0:c r="J39" s="64" t="inlineStr">
        <ns0:is>
          <ns0:t>Judgment: denial analytics, training and reporting offer improvement levers. Sources and evidence scope: Evidence &amp; Assumptions tab.</ns0:t>
        </ns0:is>
      </ns0:c>
    </ns0:row>
    <ns0:row r="40" ht="12.75" customHeight="1">
      <ns0:c r="B40" s="4" t="inlineStr">
        <ns0:is>
          <ns0:t>Impact and Externalities</ns0:t>
        </ns0:is>
      </ns0:c>
      <ns0:c r="C40" s="49">
        <ns0:f>AVERAGE(D41:D42)</ns0:f>
        <ns0:v>2.5</ns0:v>
      </ns0:c>
      <ns0:c r="D40" s="15" t="n">
        <ns0:v>0.05</ns0:v>
      </ns0:c>
      <ns0:c r="E40" s="8" t="n"/>
      <ns0:c r="F40" s="9" t="n"/>
      <ns0:c r="I40" s="9" t="n"/>
      <ns0:c r="J40" s="23" t="n"/>
    </ns0:row>
    <ns0:row r="41" ht="65" customHeight="1">
      <ns0:c r="B41" s="10" t="inlineStr">
        <ns0:is>
          <ns0:t>- Net impact to society</ns0:t>
        </ns0:is>
      </ns0:c>
      <ns0:c r="C41" s="50" t="n"/>
      <ns0:c r="D41" s="56" t="n">
        <ns0:v>3</ns0:v>
      </ns0:c>
      <ns0:c r="E41" s="48" t="inlineStr">
        <ns0:is>
          <ns0:t>+</ns0:t>
        </ns0:is>
      </ns0:c>
      <ns0:c r="F41" s="9" t="n"/>
      <ns0:c r="G41" s="2" t="inlineStr">
        <ns0:is>
          <ns0:t>Net positive impact</ns0:t>
        </ns0:is>
      </ns0:c>
      <ns0:c r="H41" s="2" t="inlineStr">
        <ns0:is>
          <ns0:t>Neutral impact</ns0:t>
        </ns0:is>
      </ns0:c>
      <ns0:c r="I41" s="9" t="inlineStr">
        <ns0:is>
          <ns0:t>Net negative impact</ns0:t>
        </ns0:is>
      </ns0:c>
      <ns0:c r="J41" s="63" t="inlineStr">
        <ns0:is>
          <ns0:t>Judgment: better collections can support continuity of care. Sources and evidence scope: Evidence &amp; Assumptions tab.</ns0:t>
        </ns0:is>
      </ns0:c>
    </ns0:row>
    <ns0:row r="42" ht="65" customHeight="1">
      <ns0:c r="B42" s="11" t="inlineStr">
        <ns0:is>
          <ns0:t>- Positive or negative externalities</ns0:t>
        </ns0:is>
      </ns0:c>
      <ns0:c r="C42" s="52" t="n"/>
      <ns0:c r="D42" s="56" t="n">
        <ns0:v>2</ns0:v>
      </ns0:c>
      <ns0:c r="E42" s="48" t="inlineStr">
        <ns0:is>
          <ns0:t>+/-</ns0:t>
        </ns0:is>
      </ns0:c>
      <ns0:c r="F42" s="13" t="n"/>
      <ns0:c r="G42" s="12" t="inlineStr">
        <ns0:is>
          <ns0:t>Positive externalities</ns0:t>
        </ns0:is>
      </ns0:c>
      <ns0:c r="H42" s="12" t="inlineStr">
        <ns0:is>
          <ns0:t>Neutral externalities</ns0:t>
        </ns0:is>
      </ns0:c>
      <ns0:c r="I42" s="13" t="inlineStr">
        <ns0:is>
          <ns0:t>Negative externalities</ns0:t>
        </ns0:is>
      </ns0:c>
      <ns0:c r="J42" s="65" t="inlineStr">
        <ns0:is>
          <ns0:t>Judgment: administrative efficiency balanced by privacy and coding risk. Sources and evidence scope: Evidence &amp; Assumptions tab.</ns0:t>
        </ns0:is>
      </ns0:c>
    </ns0:row>
    <ns0:row r="43">
      <ns0:c r="B43" s="14" t="inlineStr">
        <ns0:is>
          <ns0:t>Total Score</ns0:t>
        </ns0:is>
      </ns0:c>
      <ns0:c r="C43" s="49">
        <ns0:f>SUMPRODUCT(C8:C42,D8:D42)</ns0:f>
        <ns0:v>1.7925</ns0:v>
      </ns0:c>
      <ns0:c r="D43" s="18" t="inlineStr">
        <ns0:is>
          <ns0:t>Commentary: N/A</ns0:t>
        </ns0:is>
      </ns0:c>
      <ns0:c r="E43" s="18" t="n"/>
      <ns0:c r="F43" s="16" t="n"/>
      <ns0:c r="G43" s="16" t="n"/>
      <ns0:c r="H43" s="16" t="n"/>
      <ns0:c r="I43" s="16" t="n"/>
      <ns0:c r="J43" s="17" t="n"/>
    </ns0:row>
    <ns0:row r="44">
      <ns0:c r="D44" s="3" t="n"/>
    </ns0:row>
    <ns0:row r="45" ht="15" customHeight="1"/>
    <ns0:row r="52" ht="15" customHeight="1"/>
    <ns0:row r="59" ht="15" customHeight="1"/>
    <ns0:row r="66" ht="15" customHeight="1"/>
    <ns0:row r="73" ht="15" customHeight="1"/>
    <ns0:row r="80" ht="15" customHeight="1"/>
    <ns0:row r="87" ht="15" customHeight="1"/>
    <ns0:row r="94" ht="15" customHeight="1"/>
  </ns0:sheetData>
  <ns0:mergeCells count="1">
    <ns0:mergeCell ref="G5:I5"/>
  </ns0:mergeCells>
  <ns0:pageMargins left="0.7" right="0.7" top="0.75" bottom="0.75" header="0.3" footer="0.3"/>
  <ns0:pageSetup orientation="portrait"/>
</ns0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  <col width="90" customWidth="1" min="3" max="3"/>
  </cols>
  <sheetData>
    <row r="1">
      <c r="A1" s="66" t="inlineStr">
        <is>
          <t>Method</t>
        </is>
      </c>
      <c r="B1" s="66" t="inlineStr">
        <is>
          <t>Actual eight-group G&amp;B INDUSTRY template; ratings +=3, +/-=2, -=1. Unknown empirical metrics assigned conservative 1 uncertainty penalty, not asserted adverse facts; unknown qualitative judgments generally 2. Target TAM excluded. Weighted average /3. Original category/total formulas retained; numeric rating inputs replace SWITCH and deterministic XML caches verified with openpyxl data_only. No initial-screen certification.</t>
        </is>
      </c>
      <c r="C1" s="66" t="n"/>
    </row>
    <row r="2">
      <c r="A2" s="66" t="inlineStr">
        <is>
          <t>Operating date</t>
        </is>
      </c>
      <c r="B2" s="66" t="inlineStr">
        <is>
          <t>2026-09-07</t>
        </is>
      </c>
      <c r="C2" s="66" t="n"/>
    </row>
    <row r="3">
      <c r="A3" s="66" t="inlineStr">
        <is>
          <t>Scope</t>
        </is>
      </c>
      <c r="B3" s="66" t="inlineStr">
        <is>
          <t>Outsourced Billing, Denials and Authorization Services for Independent Outpatient PT, OT and Speech Therapy Practices</t>
        </is>
      </c>
      <c r="C3" s="66" t="n"/>
    </row>
    <row r="4">
      <c r="A4" s="66" t="inlineStr">
        <is>
          <t>Target TAM (unscored)</t>
        </is>
      </c>
      <c r="B4" s="66" t="inlineStr">
        <is>
          <t>{"total_firms": "At least five distinct named service-provider brands directly verified; full universe unknown", "independently_owned": "PT Billing Services .com describes independent/family ownership; other four ownership unverified. No buy-box-scale independent count established.", "already_backed_or_acquired": "WebPT/BMS platform comp excluded; WebPT majority Warburg investment documented2019. Full backed count unknown.", "pe_consolidation_risk": "High in broad RCM and rehab software/RCM bundling; narrow service specialists unquantified", "sprint_duration": "Not assigned; target count not established", "observed_provider_count": 5}</t>
        </is>
      </c>
      <c r="C4" s="66" t="n"/>
    </row>
    <row r="5">
      <c r="A5" s="66" t="inlineStr">
        <is>
          <t>Source</t>
        </is>
      </c>
      <c r="B5" s="66" t="inlineStr">
        <is>
          <t>URL</t>
        </is>
      </c>
      <c r="C5" s="66" t="inlineStr">
        <is>
          <t>Observed evidence / limits</t>
        </is>
      </c>
    </row>
    <row r="6">
      <c r="A6" s="66" t="inlineStr">
        <is>
          <t>PT Billing Services history</t>
        </is>
      </c>
      <c r="B6" s="67" t="inlineStr">
        <is>
          <t>https://ptbillingservices.com/about-us/</t>
        </is>
      </c>
      <c r="C6" s="66" t="inlineStr">
        <is>
          <t>Family company since1996; therapy-specific services</t>
        </is>
      </c>
    </row>
    <row r="7">
      <c r="A7" s="66" t="inlineStr">
        <is>
          <t>PT Billing Services independent scope</t>
        </is>
      </c>
      <c r="B7" s="67" t="inlineStr">
        <is>
          <t>https://ptbillingservices.com/</t>
        </is>
      </c>
      <c r="C7" s="66" t="inlineStr">
        <is>
          <t>Independent outsourced PT biller</t>
        </is>
      </c>
    </row>
    <row r="8">
      <c r="A8" s="66" t="inlineStr">
        <is>
          <t>Physical Therapy Billing Services</t>
        </is>
      </c>
      <c r="B8" s="67" t="inlineStr">
        <is>
          <t>https://www.ptbillingservices.net/</t>
        </is>
      </c>
      <c r="C8" s="66" t="inlineStr">
        <is>
          <t>Long-running specialty RCM with100+client-practice claim</t>
        </is>
      </c>
    </row>
    <row r="9">
      <c r="A9" s="66" t="inlineStr">
        <is>
          <t>Medical Billing Center</t>
        </is>
      </c>
      <c r="B9" s="67" t="inlineStr">
        <is>
          <t>https://www.4mbc.com/</t>
        </is>
      </c>
      <c r="C9" s="66" t="inlineStr">
        <is>
          <t>Outpatient therapy billing and collections</t>
        </is>
      </c>
    </row>
    <row r="10">
      <c r="A10" s="66" t="inlineStr">
        <is>
          <t>Medical Billing Center leadership</t>
        </is>
      </c>
      <c r="B10" s="67" t="inlineStr">
        <is>
          <t>https://www.4mbc.com/leadership/</t>
        </is>
      </c>
      <c r="C10" s="66" t="inlineStr">
        <is>
          <t>Founded by physical therapists2001</t>
        </is>
      </c>
    </row>
    <row r="11">
      <c r="A11" s="66" t="inlineStr">
        <is>
          <t>PT Pilot Billing</t>
        </is>
      </c>
      <c r="B11" s="67" t="inlineStr">
        <is>
          <t>https://ptpilotbilling.com/about/</t>
        </is>
      </c>
      <c r="C11" s="66" t="inlineStr">
        <is>
          <t>Practice-owner origins and dedicated billers</t>
        </is>
      </c>
    </row>
    <row r="12">
      <c r="A12" s="66" t="inlineStr">
        <is>
          <t>PT Outsource Solutions</t>
        </is>
      </c>
      <c r="B12" s="67" t="inlineStr">
        <is>
          <t>https://www.ptoutsourcesolutions.com/</t>
        </is>
      </c>
      <c r="C12" s="66" t="inlineStr">
        <is>
          <t>Therapy coding and payer workflow services</t>
        </is>
      </c>
    </row>
    <row r="13">
      <c r="A13" s="66" t="inlineStr">
        <is>
          <t>WebPT RCM</t>
        </is>
      </c>
      <c r="B13" s="67" t="inlineStr">
        <is>
          <t>https://www.webpt.com/products/rcm-service</t>
        </is>
      </c>
      <c r="C13" s="66" t="inlineStr">
        <is>
          <t>Bundled platform/RCM competition</t>
        </is>
      </c>
    </row>
    <row r="14">
      <c r="A14" s="66" t="inlineStr">
        <is>
          <t>WebPT Warburg announcement</t>
        </is>
      </c>
      <c r="B14" s="67" t="inlineStr">
        <is>
          <t>https://www.webpt.com/about/press/webpt-announces-significant-investment-from-warburg-pincus</t>
        </is>
      </c>
      <c r="C14" s="66" t="inlineStr">
        <is>
          <t>2019 majority investment</t>
        </is>
      </c>
    </row>
    <row r="15">
      <c r="A15" s="66" t="inlineStr">
        <is>
          <t>BLS Physical Therapists</t>
        </is>
      </c>
      <c r="B15" s="67" t="inlineStr">
        <is>
          <t>https://www.bls.gov/ooh/healthcare/physical-therapists.htm</t>
        </is>
      </c>
      <c r="C15" s="66" t="inlineStr">
        <is>
          <t>Aug27 2026 employment projection; no revenue CAGR inference</t>
        </is>
      </c>
    </row>
    <row r="16">
      <c r="A16" s="66" t="inlineStr">
        <is>
          <t>Historical RCM signal</t>
        </is>
      </c>
      <c r="B16" s="67" t="inlineStr">
        <is>
          <t>https://mail.google.com/mail/u/0/#all/1a0344b1f5883c2c</t>
        </is>
      </c>
      <c r="C16" s="66" t="inlineStr">
        <is>
          <t>Aug24 specialty RCM eight-deal newsletter</t>
        </is>
      </c>
    </row>
    <row r="17">
      <c r="A17" s="66" t="inlineStr">
        <is>
          <t>Recent clinic signal</t>
        </is>
      </c>
      <c r="B17" s="67" t="inlineStr">
        <is>
          <t>https://mail.google.com/mail/u/0/#all/1a03f2e9df864a43</t>
        </is>
      </c>
      <c r="C17" s="66" t="inlineStr">
        <is>
          <t>Clinic growth is context, not vendor financial validation</t>
        </is>
      </c>
    </row>
    <row r="18">
      <c r="A18" s="66" t="inlineStr">
        <is>
          <t>Pipeline / template source</t>
        </is>
      </c>
      <c r="B18" s="66" t="inlineStr">
        <is>
          <t>brain/traces/agents/2026-09-07-niche-intelligence.md</t>
        </is>
      </c>
      <c r="C18" s="66" t="inlineStr">
        <is>
          <t>Source lineage; not independent market evidence</t>
        </is>
      </c>
    </row>
    <row r="19">
      <c r="A19" s="66" t="inlineStr">
        <is>
          <t>Pipeline / template source</t>
        </is>
      </c>
      <c r="B19" s="66" t="inlineStr">
        <is>
          <t>/tmp/niche-intel-2026-09-07-recent/summary.md</t>
        </is>
      </c>
      <c r="C19" s="66" t="inlineStr">
        <is>
          <t>Source lineage; not independent market evidence</t>
        </is>
      </c>
    </row>
    <row r="20">
      <c r="A20" s="66" t="inlineStr">
        <is>
          <t>Pipeline / template source</t>
        </is>
      </c>
      <c r="B20" s="66" t="inlineStr">
        <is>
          <t>/tmp/niche-intel-2026-09-07-historical/consolidated.md</t>
        </is>
      </c>
      <c r="C20" s="66" t="inlineStr">
        <is>
          <t>Source lineage; not independent market evidence</t>
        </is>
      </c>
    </row>
    <row r="21">
      <c r="A21" s="66" t="inlineStr">
        <is>
          <t>Pipeline / template source</t>
        </is>
      </c>
      <c r="B21" s="66" t="inlineStr">
        <is>
          <t>/tmp/niche-intel-2026-09-07-synthesis.md</t>
        </is>
      </c>
      <c r="C21" s="66" t="inlineStr">
        <is>
          <t>Source lineage; not independent market evidence</t>
        </is>
      </c>
    </row>
    <row r="22">
      <c r="A22" s="66" t="inlineStr">
        <is>
          <t>Pipeline / template source</t>
        </is>
      </c>
      <c r="B22" s="66" t="inlineStr">
        <is>
          <t>/tmp/niche-intel-2026-09-07-identified.json</t>
        </is>
      </c>
      <c r="C22" s="66" t="inlineStr">
        <is>
          <t>Source lineage; not independent market evidence</t>
        </is>
      </c>
    </row>
    <row r="23">
      <c r="A23" s="66" t="inlineStr">
        <is>
          <t>Pipeline / template source</t>
        </is>
      </c>
      <c r="B23" s="66" t="inlineStr">
        <is>
          <t>https://docs.google.com/spreadsheets/d/1vHx4E1tRTR6V3k7NQeHdCrUjDITJVtZA5YPSIFeSins/edit</t>
        </is>
      </c>
      <c r="C23" s="66" t="inlineStr">
        <is>
          <t>Source lineage; not independent market evidence</t>
        </is>
      </c>
    </row>
    <row r="24">
      <c r="A24" s="66" t="inlineStr">
        <is>
          <t>Pipeline / template source</t>
        </is>
      </c>
      <c r="B24" s="66" t="inlineStr">
        <is>
          <t>https://drive.google.com/file/d/1HfhQkl1-0iAZKIb7pIdIGEjw_o90DkaZ/view</t>
        </is>
      </c>
      <c r="C24" s="66" t="inlineStr">
        <is>
          <t>Source lineage; not independent market evidence</t>
        </is>
      </c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2026-09-09T00:37:00Z</dcterms:modified>
  <cp:lastModifiedBy>K Sch</cp:lastModifiedBy>
</cp:coreProperties>
</file>