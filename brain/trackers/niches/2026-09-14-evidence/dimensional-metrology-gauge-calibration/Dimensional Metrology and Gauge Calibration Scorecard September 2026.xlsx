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760" windowWidth="27640" windowHeight="16900" tabRatio="600" firstSheet="0" activeTab="0" autoFilterDateGrouping="1"/>
  </bookViews>
  <sheets>
    <sheet xmlns:r="http://schemas.openxmlformats.org/officeDocument/2006/relationships" name="INITIAL SCREEN" sheetId="1" state="visible" r:id="rId1"/>
    <sheet xmlns:r="http://schemas.openxmlformats.org/officeDocument/2006/relationships" name="Industry Scorecard" sheetId="2" state="visible" r:id="rId2"/>
    <sheet xmlns:r="http://schemas.openxmlformats.org/officeDocument/2006/relationships" name="Methodology and Sources" sheetId="3" state="visible" r:id="rId3"/>
  </sheets>
  <definedNames>
    <definedName name="_bdm.8018492968a5442495f20d90ab0edcf5.edm" localSheetId="1" hidden="1">TEMPLATE!$1:$1048576</definedName>
    <definedName name="_bdm.f13a6b620fec4e82afc4fa1e28cf992f.edm" localSheetId="1" hidden="1">TEMPLATE!#REF!</definedName>
    <definedName name="_bdm.FastTrackBookmark.10_31_2020_1_08_13_PM.edm" localSheetId="1" hidden="1">TEMPLATE!$C$8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theme="0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0000FF"/>
      <sz val="10"/>
    </font>
    <font>
      <name val="Calibri"/>
      <family val="2"/>
      <i val="1"/>
      <color theme="1"/>
      <sz val="8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5">
    <xf numFmtId="0" fontId="1" fillId="0" borderId="0"/>
    <xf numFmtId="9" fontId="1" fillId="0" borderId="0"/>
    <xf numFmtId="0" fontId="2" fillId="0" borderId="0"/>
    <xf numFmtId="9" fontId="1" fillId="0" borderId="0"/>
    <xf numFmtId="0" fontId="11" fillId="0" borderId="0"/>
  </cellStyleXfs>
  <cellXfs count="88">
    <xf numFmtId="0" fontId="0" fillId="0" borderId="0" pivotButton="0" quotePrefix="0" xfId="0"/>
    <xf numFmtId="9" fontId="2" fillId="0" borderId="0" applyAlignment="1" pivotButton="0" quotePrefix="0" xfId="1">
      <alignment horizontal="center" vertical="top"/>
    </xf>
    <xf numFmtId="0" fontId="2" fillId="0" borderId="0" pivotButton="0" quotePrefix="0" xfId="2"/>
    <xf numFmtId="9" fontId="2" fillId="0" borderId="0" pivotButton="0" quotePrefix="0" xfId="2"/>
    <xf numFmtId="0" fontId="5" fillId="0" borderId="5" pivotButton="0" quotePrefix="0" xfId="2"/>
    <xf numFmtId="16" fontId="5" fillId="0" borderId="0" applyAlignment="1" pivotButton="0" quotePrefix="1" xfId="2">
      <alignment horizontal="center"/>
    </xf>
    <xf numFmtId="9" fontId="5" fillId="0" borderId="0" applyAlignment="1" pivotButton="0" quotePrefix="1" xfId="1">
      <alignment horizontal="center" vertical="top"/>
    </xf>
    <xf numFmtId="9" fontId="5" fillId="0" borderId="6" applyAlignment="1" pivotButton="0" quotePrefix="1" xfId="1">
      <alignment horizontal="center" vertical="top"/>
    </xf>
    <xf numFmtId="0" fontId="2" fillId="0" borderId="0" applyAlignment="1" pivotButton="0" quotePrefix="0" xfId="2">
      <alignment horizontal="center"/>
    </xf>
    <xf numFmtId="0" fontId="2" fillId="0" borderId="6" pivotButton="0" quotePrefix="0" xfId="2"/>
    <xf numFmtId="0" fontId="2" fillId="0" borderId="5" applyAlignment="1" pivotButton="0" quotePrefix="1" xfId="2">
      <alignment horizontal="left" indent="1"/>
    </xf>
    <xf numFmtId="0" fontId="2" fillId="0" borderId="7" applyAlignment="1" pivotButton="0" quotePrefix="1" xfId="2">
      <alignment horizontal="left" indent="1"/>
    </xf>
    <xf numFmtId="0" fontId="2" fillId="0" borderId="8" pivotButton="0" quotePrefix="0" xfId="2"/>
    <xf numFmtId="0" fontId="2" fillId="0" borderId="9" pivotButton="0" quotePrefix="0" xfId="2"/>
    <xf numFmtId="0" fontId="5" fillId="0" borderId="10" pivotButton="0" quotePrefix="0" xfId="2"/>
    <xf numFmtId="9" fontId="5" fillId="0" borderId="0" applyAlignment="1" pivotButton="0" quotePrefix="0" xfId="2">
      <alignment horizontal="center"/>
    </xf>
    <xf numFmtId="0" fontId="2" fillId="0" borderId="11" pivotButton="0" quotePrefix="0" xfId="2"/>
    <xf numFmtId="0" fontId="2" fillId="0" borderId="12" pivotButton="0" quotePrefix="0" xfId="2"/>
    <xf numFmtId="0" fontId="5" fillId="0" borderId="11" pivotButton="0" quotePrefix="0" xfId="2"/>
    <xf numFmtId="0" fontId="2" fillId="0" borderId="14" applyAlignment="1" pivotButton="0" quotePrefix="1" xfId="2">
      <alignment horizontal="left" indent="1"/>
    </xf>
    <xf numFmtId="0" fontId="2" fillId="0" borderId="15" pivotButton="0" quotePrefix="0" xfId="2"/>
    <xf numFmtId="0" fontId="2" fillId="0" borderId="16" pivotButton="0" quotePrefix="0" xfId="2"/>
    <xf numFmtId="9" fontId="5" fillId="0" borderId="19" applyAlignment="1" pivotButton="0" quotePrefix="1" xfId="1">
      <alignment horizontal="center" vertical="top"/>
    </xf>
    <xf numFmtId="0" fontId="2" fillId="0" borderId="19" pivotButton="0" quotePrefix="0" xfId="2"/>
    <xf numFmtId="0" fontId="2" fillId="0" borderId="13" pivotButton="0" quotePrefix="0" xfId="2"/>
    <xf numFmtId="0" fontId="2" fillId="0" borderId="18" pivotButton="0" quotePrefix="0" xfId="2"/>
    <xf numFmtId="0" fontId="2" fillId="0" borderId="5" pivotButton="0" quotePrefix="0" xfId="2"/>
    <xf numFmtId="9" fontId="7" fillId="0" borderId="0" applyAlignment="1" pivotButton="0" quotePrefix="0" xfId="2">
      <alignment horizontal="center"/>
    </xf>
    <xf numFmtId="0" fontId="2" fillId="2" borderId="0" pivotButton="0" quotePrefix="0" xfId="2"/>
    <xf numFmtId="0" fontId="3" fillId="2" borderId="0" pivotButton="0" quotePrefix="0" xfId="2"/>
    <xf numFmtId="0" fontId="3" fillId="2" borderId="0" applyAlignment="1" pivotButton="0" quotePrefix="0" xfId="2">
      <alignment horizontal="right"/>
    </xf>
    <xf numFmtId="164" fontId="3" fillId="2" borderId="0" applyAlignment="1" pivotButton="0" quotePrefix="0" xfId="1">
      <alignment horizontal="center" vertical="top"/>
    </xf>
    <xf numFmtId="165" fontId="3" fillId="2" borderId="0" applyAlignment="1" pivotButton="0" quotePrefix="0" xfId="1">
      <alignment horizontal="center" vertical="top"/>
    </xf>
    <xf numFmtId="0" fontId="4" fillId="2" borderId="0" pivotButton="0" quotePrefix="0" xfId="2"/>
    <xf numFmtId="166" fontId="3" fillId="2" borderId="0" applyAlignment="1" pivotButton="0" quotePrefix="0" xfId="1">
      <alignment horizontal="center" vertical="top"/>
    </xf>
    <xf numFmtId="0" fontId="3" fillId="2" borderId="3" pivotButton="0" quotePrefix="0" xfId="2"/>
    <xf numFmtId="0" fontId="3" fillId="2" borderId="1" applyAlignment="1" pivotButton="0" quotePrefix="0" xfId="2">
      <alignment horizontal="center"/>
    </xf>
    <xf numFmtId="9" fontId="3" fillId="2" borderId="1" applyAlignment="1" pivotButton="0" quotePrefix="0" xfId="1">
      <alignment horizontal="center"/>
    </xf>
    <xf numFmtId="9" fontId="3" fillId="2" borderId="1" pivotButton="0" quotePrefix="0" xfId="1"/>
    <xf numFmtId="9" fontId="3" fillId="2" borderId="4" pivotButton="0" quotePrefix="0" xfId="1"/>
    <xf numFmtId="0" fontId="3" fillId="2" borderId="17" applyAlignment="1" pivotButton="0" quotePrefix="0" xfId="2">
      <alignment horizontal="center"/>
    </xf>
    <xf numFmtId="0" fontId="3" fillId="2" borderId="7" pivotButton="0" quotePrefix="0" xfId="2"/>
    <xf numFmtId="16" fontId="3" fillId="2" borderId="8" applyAlignment="1" pivotButton="0" quotePrefix="1" xfId="2">
      <alignment horizontal="center"/>
    </xf>
    <xf numFmtId="9" fontId="3" fillId="2" borderId="8" applyAlignment="1" pivotButton="0" quotePrefix="0" xfId="1">
      <alignment horizontal="center"/>
    </xf>
    <xf numFmtId="9" fontId="3" fillId="2" borderId="8" applyAlignment="1" pivotButton="0" quotePrefix="1" xfId="1">
      <alignment horizontal="center"/>
    </xf>
    <xf numFmtId="9" fontId="3" fillId="2" borderId="9" applyAlignment="1" pivotButton="0" quotePrefix="1" xfId="1">
      <alignment horizontal="center"/>
    </xf>
    <xf numFmtId="9" fontId="3" fillId="2" borderId="18" applyAlignment="1" pivotButton="0" quotePrefix="1" xfId="1">
      <alignment horizontal="center"/>
    </xf>
    <xf numFmtId="0" fontId="6" fillId="3" borderId="2" applyAlignment="1" pivotButton="0" quotePrefix="0" xfId="2">
      <alignment horizontal="center"/>
    </xf>
    <xf numFmtId="0" fontId="7" fillId="3" borderId="2" applyAlignment="1" pivotButton="0" quotePrefix="0" xfId="2">
      <alignment horizontal="center"/>
    </xf>
    <xf numFmtId="2" fontId="6" fillId="3" borderId="2" applyAlignment="1" pivotButton="0" quotePrefix="0" xfId="2">
      <alignment horizontal="center"/>
    </xf>
    <xf numFmtId="2" fontId="2" fillId="0" borderId="0" pivotButton="0" quotePrefix="0" xfId="2"/>
    <xf numFmtId="2" fontId="2" fillId="0" borderId="15" pivotButton="0" quotePrefix="0" xfId="2"/>
    <xf numFmtId="2" fontId="2" fillId="0" borderId="8" pivotButton="0" quotePrefix="0" xfId="2"/>
    <xf numFmtId="0" fontId="2" fillId="0" borderId="5" applyAlignment="1" pivotButton="0" quotePrefix="0" xfId="2">
      <alignment wrapText="1"/>
    </xf>
    <xf numFmtId="9" fontId="5" fillId="0" borderId="0" applyAlignment="1" pivotButton="0" quotePrefix="0" xfId="3">
      <alignment horizontal="center" vertical="top"/>
    </xf>
    <xf numFmtId="9" fontId="5" fillId="0" borderId="0" applyAlignment="1" pivotButton="0" quotePrefix="1" xfId="3">
      <alignment horizontal="center" vertical="top"/>
    </xf>
    <xf numFmtId="0" fontId="4" fillId="0" borderId="0" pivotButton="0" quotePrefix="0" xfId="2"/>
    <xf numFmtId="0" fontId="4" fillId="0" borderId="20" pivotButton="0" quotePrefix="0" xfId="2"/>
    <xf numFmtId="0" fontId="3" fillId="2" borderId="4" applyAlignment="1" pivotButton="0" quotePrefix="0" xfId="2">
      <alignment horizontal="center"/>
    </xf>
    <xf numFmtId="0" fontId="0" fillId="0" borderId="1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5" fillId="0" borderId="5" applyAlignment="1" pivotButton="0" quotePrefix="0" xfId="2">
      <alignment vertical="top" wrapText="1"/>
    </xf>
    <xf numFmtId="2" fontId="6" fillId="3" borderId="2" applyAlignment="1" pivotButton="0" quotePrefix="0" xfId="2">
      <alignment vertical="top" wrapText="1"/>
    </xf>
    <xf numFmtId="9" fontId="5" fillId="0" borderId="0" applyAlignment="1" pivotButton="0" quotePrefix="0" xfId="2">
      <alignment vertical="top" wrapText="1"/>
    </xf>
    <xf numFmtId="0" fontId="2" fillId="0" borderId="0" applyAlignment="1" pivotButton="0" quotePrefix="0" xfId="2">
      <alignment vertical="top" wrapText="1"/>
    </xf>
    <xf numFmtId="0" fontId="2" fillId="0" borderId="6" applyAlignment="1" pivotButton="0" quotePrefix="0" xfId="2">
      <alignment vertical="top" wrapText="1"/>
    </xf>
    <xf numFmtId="0" fontId="2" fillId="0" borderId="19" applyAlignment="1" pivotButton="0" quotePrefix="0" xfId="2">
      <alignment vertical="top" wrapText="1"/>
    </xf>
    <xf numFmtId="0" fontId="2" fillId="0" borderId="5" applyAlignment="1" pivotButton="0" quotePrefix="1" xfId="2">
      <alignment vertical="top" wrapText="1"/>
    </xf>
    <xf numFmtId="2" fontId="2" fillId="0" borderId="0" applyAlignment="1" pivotButton="0" quotePrefix="0" xfId="2">
      <alignment vertical="top" wrapText="1"/>
    </xf>
    <xf numFmtId="0" fontId="4" fillId="0" borderId="0" applyAlignment="1" pivotButton="0" quotePrefix="0" xfId="2">
      <alignment vertical="top" wrapText="1"/>
    </xf>
    <xf numFmtId="0" fontId="7" fillId="3" borderId="2" applyAlignment="1" pivotButton="0" quotePrefix="0" xfId="2">
      <alignment vertical="top" wrapText="1"/>
    </xf>
    <xf numFmtId="0" fontId="2" fillId="0" borderId="14" applyAlignment="1" pivotButton="0" quotePrefix="1" xfId="2">
      <alignment vertical="top" wrapText="1"/>
    </xf>
    <xf numFmtId="2" fontId="2" fillId="0" borderId="15" applyAlignment="1" pivotButton="0" quotePrefix="0" xfId="2">
      <alignment vertical="top" wrapText="1"/>
    </xf>
    <xf numFmtId="0" fontId="4" fillId="0" borderId="20" applyAlignment="1" pivotButton="0" quotePrefix="0" xfId="2">
      <alignment vertical="top" wrapText="1"/>
    </xf>
    <xf numFmtId="0" fontId="2" fillId="0" borderId="16" applyAlignment="1" pivotButton="0" quotePrefix="0" xfId="2">
      <alignment vertical="top" wrapText="1"/>
    </xf>
    <xf numFmtId="0" fontId="2" fillId="0" borderId="15" applyAlignment="1" pivotButton="0" quotePrefix="0" xfId="2">
      <alignment vertical="top" wrapText="1"/>
    </xf>
    <xf numFmtId="0" fontId="2" fillId="0" borderId="13" applyAlignment="1" pivotButton="0" quotePrefix="0" xfId="2">
      <alignment vertical="top" wrapText="1"/>
    </xf>
    <xf numFmtId="0" fontId="2" fillId="0" borderId="7" applyAlignment="1" pivotButton="0" quotePrefix="1" xfId="2">
      <alignment vertical="top" wrapText="1"/>
    </xf>
    <xf numFmtId="2" fontId="2" fillId="0" borderId="8" applyAlignment="1" pivotButton="0" quotePrefix="0" xfId="2">
      <alignment vertical="top" wrapText="1"/>
    </xf>
    <xf numFmtId="0" fontId="2" fillId="0" borderId="9" applyAlignment="1" pivotButton="0" quotePrefix="0" xfId="2">
      <alignment vertical="top" wrapText="1"/>
    </xf>
    <xf numFmtId="0" fontId="2" fillId="0" borderId="8" applyAlignment="1" pivotButton="0" quotePrefix="0" xfId="2">
      <alignment vertical="top" wrapText="1"/>
    </xf>
    <xf numFmtId="0" fontId="2" fillId="0" borderId="18" applyAlignment="1" pivotButton="0" quotePrefix="0" xfId="2">
      <alignment vertical="top" wrapText="1"/>
    </xf>
    <xf numFmtId="0" fontId="11" fillId="0" borderId="0" applyAlignment="1" pivotButton="0" quotePrefix="0" xfId="4">
      <alignment vertical="top" wrapText="1"/>
    </xf>
  </cellXfs>
  <cellStyles count="5">
    <cellStyle name="Normal" xfId="0" builtinId="0"/>
    <cellStyle name="Percent" xfId="1" builtinId="5"/>
    <cellStyle name="Normal 2" xfId="2"/>
    <cellStyle name="Percent 2" xfId="3"/>
    <cellStyle name="Hyperlink" xfId="4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brain/outputs/2026-09-14-niche-intelligence-report.md" TargetMode="External" Id="rId1"/><Relationship Type="http://schemas.openxmlformats.org/officeDocument/2006/relationships/hyperlink" Target="https://docs.google.com/spreadsheets/d/1vHx4E1tRTR6V3k7NQeHdCrUjDITJVtZA5YPSIFeSins/edit" TargetMode="External" Id="rId2"/><Relationship Type="http://schemas.openxmlformats.org/officeDocument/2006/relationships/hyperlink" Target="https://www.nemetrology.com/about.cfm" TargetMode="External" Id="rId3"/><Relationship Type="http://schemas.openxmlformats.org/officeDocument/2006/relationships/hyperlink" Target="https://americalinc.com/" TargetMode="External" Id="rId4"/><Relationship Type="http://schemas.openxmlformats.org/officeDocument/2006/relationships/hyperlink" Target="https://www.unitedstandardslab.com/" TargetMode="External" Id="rId5"/><Relationship Type="http://schemas.openxmlformats.org/officeDocument/2006/relationships/hyperlink" Target="https://www.unitedstandardslab.com/about-us" TargetMode="External" Id="rId6"/><Relationship Type="http://schemas.openxmlformats.org/officeDocument/2006/relationships/hyperlink" Target="https://mtausa.com/news/medical-technology-associates-acquires-cal-tec-labs-inc" TargetMode="External" Id="rId7"/><Relationship Type="http://schemas.openxmlformats.org/officeDocument/2006/relationships/hyperlink" Target="https://www.sec.gov/Archives/edgar/data/99302/000143774925018483/trns20250331_10k.htm" TargetMode="External" Id="rId8"/><Relationship Type="http://schemas.openxmlformats.org/officeDocument/2006/relationships/hyperlink" Target="https://www.sec.gov/Archives/edgar/data/99302/000114036126029373/edge20075511x3_ars.pdf" TargetMode="External" Id="rId9"/><Relationship Type="http://schemas.openxmlformats.org/officeDocument/2006/relationships/hyperlink" Target="https://www.nist.gov/calibrations/recommended-calibration-interval" TargetMode="External" Id="rId10"/><Relationship Type="http://schemas.openxmlformats.org/officeDocument/2006/relationships/hyperlink" Target="https://a2la.org/accreditation/calibration/" TargetMode="External" Id="rId11"/><Relationship Type="http://schemas.openxmlformats.org/officeDocument/2006/relationships/hyperlink" Target="https://customer.a2la.org/index.cfm?event=directory.index" TargetMode="External" Id="rId12"/><Relationship Type="http://schemas.openxmlformats.org/officeDocument/2006/relationships/hyperlink" Target="https://www.trescal.com/news/?category=press-release" TargetMode="External" Id="rId13"/><Relationship Type="http://schemas.openxmlformats.org/officeDocument/2006/relationships/hyperlink" Target="brain/traces/agents/2026-09-14-niche-intelligence.md" TargetMode="External" Id="rId14"/><Relationship Type="http://schemas.openxmlformats.org/officeDocument/2006/relationships/hyperlink" Target="https://micronpa.com/gage-calibration-services/" TargetMode="External" Id="rId15"/><Relationship Type="http://schemas.openxmlformats.org/officeDocument/2006/relationships/hyperlink" Target="https://cal-tec.com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5" customWidth="1" min="2" max="2"/>
    <col width="18" customWidth="1" min="3" max="3"/>
    <col width="42" customWidth="1" min="4" max="4"/>
    <col width="90" customWidth="1" min="5" max="5"/>
  </cols>
  <sheetData>
    <row r="1">
      <c r="A1" s="63" t="n"/>
      <c r="B1" s="63" t="n"/>
      <c r="C1" s="63" t="n"/>
      <c r="D1" s="63" t="n"/>
      <c r="E1" s="63" t="n"/>
    </row>
    <row r="2">
      <c r="A2" s="63" t="n"/>
      <c r="B2" s="63" t="n"/>
      <c r="C2" s="63" t="n"/>
      <c r="D2" s="63" t="n"/>
      <c r="E2" s="63" t="n"/>
    </row>
    <row r="3" ht="45" customHeight="1">
      <c r="A3" s="63" t="n"/>
      <c r="B3" s="64" t="inlineStr">
        <is>
          <t>Independent Dimensional Metrology and Gauge-Calibration Services for Precision Manufacturers</t>
        </is>
      </c>
      <c r="C3" s="63" t="n"/>
      <c r="D3" s="63" t="n"/>
      <c r="E3" s="63" t="n"/>
    </row>
    <row r="4">
      <c r="A4" s="63" t="n"/>
      <c r="B4" s="63" t="n"/>
      <c r="C4" s="63" t="n"/>
      <c r="D4" s="63" t="n"/>
      <c r="E4" s="63" t="n"/>
    </row>
    <row r="5">
      <c r="A5" s="63" t="n"/>
      <c r="B5" s="65" t="inlineStr">
        <is>
          <t>Initial Screen</t>
        </is>
      </c>
      <c r="C5" s="65" t="inlineStr">
        <is>
          <t>Pass/Fail</t>
        </is>
      </c>
      <c r="D5" s="65" t="inlineStr">
        <is>
          <t>Criteria</t>
        </is>
      </c>
      <c r="E5" s="65" t="inlineStr">
        <is>
          <t>Notes</t>
        </is>
      </c>
    </row>
    <row r="6" ht="55" customHeight="1">
      <c r="A6" s="63" t="n"/>
      <c r="B6" s="63" t="inlineStr">
        <is>
          <t>Margins</t>
        </is>
      </c>
      <c r="C6" s="63" t="inlineStr">
        <is>
          <t>Unknown</t>
        </is>
      </c>
      <c r="D6" s="63" t="inlineStr">
        <is>
          <t>15%+ EBITDA margins required</t>
        </is>
      </c>
      <c r="E6" s="63" t="inlineStr">
        <is>
          <t>Typical EBITDA&gt;=15% unverified. Transcat FY2025 broad service gross margin33.4% is not EBITDA; FY2026 consolidated adjusted EBITDA48.7/331.9=14.7% is mixed-business company data, not niche margin.</t>
        </is>
      </c>
    </row>
    <row r="7" ht="55" customHeight="1">
      <c r="A7" s="63" t="n"/>
      <c r="B7" s="63" t="inlineStr">
        <is>
          <t>Recurring Revenue</t>
        </is>
      </c>
      <c r="C7" s="63" t="inlineStr">
        <is>
          <t>Pass</t>
        </is>
      </c>
      <c r="D7" s="63" t="inlineStr">
        <is>
          <t>Existing recurring/contractual revenue or clear path to convert</t>
        </is>
      </c>
      <c r="E7" s="63" t="inlineStr">
        <is>
          <t>Repeated calibration/certification and equipment records supported by provider practices and Transcat. Contracted share, retention and frequency unknown. NIST specifies no universal annual mandate.</t>
        </is>
      </c>
    </row>
    <row r="8" ht="55" customHeight="1">
      <c r="A8" s="63" t="n"/>
      <c r="B8" s="63" t="inlineStr">
        <is>
          <t>Industry Growth</t>
        </is>
      </c>
      <c r="C8" s="63" t="inlineStr">
        <is>
          <t>Unknown</t>
        </is>
      </c>
      <c r="D8" s="63" t="inlineStr">
        <is>
          <t>Growth rate above GDP (~3%+)</t>
        </is>
      </c>
      <c r="E8" s="63" t="inlineStr">
        <is>
          <t>Company growth7% FY2025 /20% FY2026 supports tailwind proxy only; exact niche CAGR unverified.</t>
        </is>
      </c>
    </row>
    <row r="9" ht="55" customHeight="1">
      <c r="A9" s="63" t="n"/>
      <c r="B9" s="63" t="inlineStr">
        <is>
          <t>Growth TAM</t>
        </is>
      </c>
      <c r="C9" s="63" t="inlineStr">
        <is>
          <t>Unknown</t>
        </is>
      </c>
      <c r="D9" s="63" t="inlineStr">
        <is>
          <t>$500M+ total addressable market (investor floor)</t>
        </is>
      </c>
      <c r="E9" s="63" t="inlineStr">
        <is>
          <t>Exact US dimensional calibration service TAM unknown; broader calibration figures cannot establish $500M niche floor.</t>
        </is>
      </c>
    </row>
    <row r="10">
      <c r="A10" s="63" t="n"/>
      <c r="B10" s="63" t="n"/>
      <c r="C10" s="63" t="n"/>
      <c r="D10" s="63" t="n"/>
      <c r="E10" s="63" t="n"/>
    </row>
    <row r="11">
      <c r="A11" s="63" t="n"/>
      <c r="B11" s="65" t="inlineStr">
        <is>
          <t>VERDICT</t>
        </is>
      </c>
      <c r="C11" s="63" t="inlineStr"/>
      <c r="D11" s="63" t="inlineStr">
        <is>
          <t>INCOMPLETE — review only</t>
        </is>
      </c>
      <c r="E11" s="63" t="inlineStr">
        <is>
          <t>Missing facts not forced to Pass; no activation.</t>
        </is>
      </c>
    </row>
    <row r="12">
      <c r="A12" s="63" t="n"/>
      <c r="B12" s="63" t="n"/>
      <c r="C12" s="63" t="n"/>
      <c r="D12" s="63" t="n"/>
      <c r="E12" s="63" t="n"/>
    </row>
    <row r="13">
      <c r="A13" s="63" t="n"/>
      <c r="B13" s="65" t="inlineStr">
        <is>
          <t>Target TAM (informational — not scored)</t>
        </is>
      </c>
      <c r="C13" s="63" t="n"/>
      <c r="D13" s="63" t="n"/>
      <c r="E13" s="63" t="n"/>
    </row>
    <row r="14" ht="55" customHeight="1">
      <c r="A14" s="63" t="n"/>
      <c r="B14" s="63" t="inlineStr">
        <is>
          <t>Number of independently owned acquisition candidates</t>
        </is>
      </c>
      <c r="C14" s="63" t="inlineStr">
        <is>
          <t>Unknown</t>
        </is>
      </c>
      <c r="D14" s="63" t="inlineStr">
        <is>
          <t>Determines sprint duration, not go/no-go</t>
        </is>
      </c>
      <c r="E14" s="63" t="inlineStr">
        <is>
          <t>5 named service providers reviewed: 3 current family-owned claims, 2 acquired comps excluded; independent scaled US pool unknown</t>
        </is>
      </c>
    </row>
    <row r="15">
      <c r="A15" s="63" t="n"/>
      <c r="B15" s="63" t="inlineStr">
        <is>
          <t>Sprint duration estimate</t>
        </is>
      </c>
      <c r="C15" s="63" t="inlineStr">
        <is>
          <t>Unassigned</t>
        </is>
      </c>
      <c r="D15" s="63" t="inlineStr">
        <is>
          <t>50+ = long sprint | 20-50 = focused | 10-20 = fast | &lt;10 = very fast</t>
        </is>
      </c>
      <c r="E15" s="63" t="inlineStr">
        <is>
          <t>Directory/examples do not establish acquisition-ready pool.</t>
        </is>
      </c>
    </row>
  </sheetData>
  <pageMargins left="0.75" right="0.75" top="1" bottom="1" header="0.5" footer="0.5"/>
</worksheet>
</file>

<file path=xl/worksheets/sheet2.xml><?xml version="1.0" encoding="utf-8"?>
<ns0:worksheet xmlns:ns0="http://schemas.openxmlformats.org/spreadsheetml/2006/main">
  <ns0:sheetPr>
    <ns0:tabColor theme="0"/>
    <ns0:outlinePr summaryBelow="1" summaryRight="1"/>
    <ns0:pageSetUpPr/>
  </ns0:sheetPr>
  <ns0:dimension ref="A2:J44"/>
  <ns0:sheetViews>
    <ns0:sheetView showGridLines="0" tabSelected="1" topLeftCell="A44" zoomScale="170" zoomScaleNormal="170" workbookViewId="0">
      <ns0:selection activeCell="B27" sqref="B27"/>
    </ns0:sheetView>
  </ns0:sheetViews>
  <ns0:sheetFormatPr baseColWidth="10" defaultColWidth="8.83203125" defaultRowHeight="14"/>
  <ns0:cols>
    <ns0:col width="1.33203125" customWidth="1" style="2" min="1" max="1"/>
    <ns0:col width="47.33203125" customWidth="1" style="2" min="2" max="2"/>
    <ns0:col outlineLevel="1" width="11.83203125" customWidth="1" style="2" min="3" max="4"/>
    <ns0:col outlineLevel="1" width="8.33203125" customWidth="1" style="2" min="5" max="5"/>
    <ns0:col width="3.1640625" bestFit="1" customWidth="1" style="2" min="6" max="6"/>
    <ns0:col outlineLevel="1" width="25.6640625" customWidth="1" style="2" min="7" max="7"/>
    <ns0:col outlineLevel="1" width="32" customWidth="1" style="2" min="8" max="8"/>
    <ns0:col outlineLevel="1" width="23" customWidth="1" style="2" min="9" max="9"/>
    <ns0:col width="90" customWidth="1" style="2" min="10" max="10"/>
    <ns0:col width="8.83203125" customWidth="1" style="2" min="11" max="11"/>
    <ns0:col width="8.83203125" customWidth="1" style="2" min="12" max="16384"/>
  </ns0:cols>
  <ns0:sheetData>
    <ns0:row r="1" customFormat="1" s="28"/>
    <ns0:row r="2" customFormat="1" s="28">
      <ns0:c r="B2" s="29" t="n"/>
      <ns0:c r="C2" s="30" t="n"/>
      <ns0:c r="D2" s="31" t="n"/>
      <ns0:c r="E2" s="31" t="n"/>
      <ns0:c r="F2" s="31" t="n"/>
      <ns0:c r="G2" s="32" t="n"/>
      <ns0:c r="H2" s="32" t="n"/>
      <ns0:c r="I2" s="30" t="n"/>
    </ns0:row>
    <ns0:row r="3" ht="45" customFormat="1" customHeight="1" s="28">
      <ns0:c r="B3" s="33" t="inlineStr">
        <ns0:is>
          <ns0:t>Independent Dimensional Metrology and Gauge-Calibration Services for Precision Manufacturers</ns0:t>
        </ns0:is>
      </ns0:c>
      <ns0:c r="C3" s="30" t="n"/>
      <ns0:c r="D3" s="34" t="n"/>
      <ns0:c r="E3" s="34" t="n"/>
      <ns0:c r="F3" s="34" t="n"/>
      <ns0:c r="G3" s="32" t="n"/>
      <ns0:c r="H3" s="32" t="n"/>
      <ns0:c r="I3" s="30" t="n"/>
    </ns0:row>
    <ns0:row r="4" ht="6" customHeight="1">
      <ns0:c r="D4" s="1" t="n"/>
      <ns0:c r="E4" s="1" t="n"/>
      <ns0:c r="F4" s="1" t="n"/>
      <ns0:c r="G4" s="1" t="n"/>
      <ns0:c r="H4" s="1" t="n"/>
    </ns0:row>
    <ns0:row r="5" ht="14.5" customHeight="1">
      <ns0:c r="B5" s="35" t="inlineStr">
        <ns0:is>
          <ns0:t>G&amp;B INDUSTRY SCORECARD</ns0:t>
        </ns0:is>
      </ns0:c>
      <ns0:c r="C5" s="36" t="inlineStr">
        <ns0:is>
          <ns0:t>Score</ns0:t>
        </ns0:is>
      </ns0:c>
      <ns0:c r="D5" s="37" t="inlineStr">
        <ns0:is>
          <ns0:t>Weight</ns0:t>
        </ns0:is>
      </ns0:c>
      <ns0:c r="E5" s="38" t="inlineStr">
        <ns0:is>
          <ns0:t>Evaluation</ns0:t>
        </ns0:is>
      </ns0:c>
      <ns0:c r="F5" s="39" t="n"/>
      <ns0:c r="G5" s="58" t="inlineStr">
        <ns0:is>
          <ns0:t>Criteria for Evaluation</ns0:t>
        </ns0:is>
      </ns0:c>
      <ns0:c r="H5" s="59" t="n"/>
      <ns0:c r="I5" s="60" t="n"/>
      <ns0:c r="J5" s="40" t="inlineStr">
        <ns0:is>
          <ns0:t>General Commentary / Supporting Data</ns0:t>
        </ns0:is>
      </ns0:c>
    </ns0:row>
    <ns0:row r="6">
      <ns0:c r="B6" s="41" t="n"/>
      <ns0:c r="C6" s="42" t="inlineStr">
        <ns0:is>
          <ns0:t>(1-3)</ns0:t>
        </ns0:is>
      </ns0:c>
      <ns0:c r="D6" s="43" t="inlineStr">
        <ns0:is>
          <ns0:t>(%)</ns0:t>
        </ns0:is>
      </ns0:c>
      <ns0:c r="E6" s="44" t="inlineStr">
        <ns0:is>
          <ns0:t>+/-</ns0:t>
        </ns0:is>
      </ns0:c>
      <ns0:c r="F6" s="45" t="n"/>
      <ns0:c r="G6" s="44" t="inlineStr">
        <ns0:is>
          <ns0:t>+</ns0:t>
        </ns0:is>
      </ns0:c>
      <ns0:c r="H6" s="44" t="inlineStr">
        <ns0:is>
          <ns0:t>+/-</ns0:t>
        </ns0:is>
      </ns0:c>
      <ns0:c r="I6" s="45" t="inlineStr">
        <ns0:is>
          <ns0:t>-</ns0:t>
        </ns0:is>
      </ns0:c>
      <ns0:c r="J6" s="46" t="n"/>
    </ns0:row>
    <ns0:row r="7" ht="6" customHeight="1">
      <ns0:c r="B7" s="4" t="n"/>
      <ns0:c r="C7" s="5" t="n"/>
      <ns0:c r="D7" s="54" t="n"/>
      <ns0:c r="E7" s="55" t="n"/>
      <ns0:c r="F7" s="7" t="n"/>
      <ns0:c r="G7" s="6" t="n"/>
      <ns0:c r="H7" s="6" t="n"/>
      <ns0:c r="I7" s="7" t="n"/>
      <ns0:c r="J7" s="22" t="n"/>
    </ns0:row>
    <ns0:row r="8" ht="26" customHeight="1">
      <ns0:c r="A8" s="63" t="n"/>
      <ns0:c r="B8" s="66" t="inlineStr">
        <ns0:is>
          <ns0:t>Growth, Penetration and Catalyst</ns0:t>
        </ns0:is>
      </ns0:c>
      <ns0:c r="C8" s="67">
        <ns0:f>AVERAGE(D9:D12)</ns0:f>
        <ns0:v>1.75</ns0:v>
      </ns0:c>
      <ns0:c r="D8" s="68" t="n">
        <ns0:v>0.25</ns0:v>
      </ns0:c>
      <ns0:c r="E8" s="69" t="n"/>
      <ns0:c r="F8" s="70" t="n"/>
      <ns0:c r="G8" s="63" t="n"/>
      <ns0:c r="H8" s="63" t="n"/>
      <ns0:c r="I8" s="70" t="n"/>
      <ns0:c r="J8" s="71" t="n"/>
    </ns0:row>
    <ns0:row r="9" ht="52" customHeight="1">
      <ns0:c r="A9" s="63" t="n"/>
      <ns0:c r="B9" s="72" t="inlineStr">
        <ns0:is>
          <ns0:t>- Growth relative to GDP (5 yr CAGR)</ns0:t>
        </ns0:is>
      </ns0:c>
      <ns0:c r="C9" s="73" t="n"/>
      <ns0:c r="D9" s="74">
        <ns0:f t="array" ref="D9">_xlfn.SWITCH(E9,"+",3,"+/-",2,"-",1)</ns0:f>
        <ns0:v>1</ns0:v>
      </ns0:c>
      <ns0:c r="E9" s="75" t="inlineStr">
        <ns0:is>
          <ns0:t>-</ns0:t>
        </ns0:is>
      </ns0:c>
      <ns0:c r="F9" s="70" t="n"/>
      <ns0:c r="G9" s="69" t="inlineStr">
        <ns0:is>
          <ns0:t>&gt;3x GDP growth</ns0:t>
        </ns0:is>
      </ns0:c>
      <ns0:c r="H9" s="69" t="inlineStr">
        <ns0:is>
          <ns0:t>1-3x GDP growth</ns0:t>
        </ns0:is>
      </ns0:c>
      <ns0:c r="I9" s="70" t="inlineStr">
        <ns0:is>
          <ns0:t>Growth with GDP or below</ns0:t>
        </ns0:is>
      </ns0:c>
      <ns0:c r="J9" s="71" t="inlineStr">
        <ns0:is>
          <ns0:t>Unknown exact dimensional-service CAGR. Broad Transcat company growth is not market growth. C6/C7</ns0:t>
        </ns0:is>
      </ns0:c>
    </ns0:row>
    <ns0:row r="10" ht="52" customHeight="1">
      <ns0:c r="A10" s="63" t="n"/>
      <ns0:c r="B10" s="72" t="inlineStr">
        <ns0:is>
          <ns0:t>- Industry penetration</ns0:t>
        </ns0:is>
      </ns0:c>
      <ns0:c r="C10" s="73" t="n"/>
      <ns0:c r="D10" s="74">
        <ns0:f t="array" ref="D10">_xlfn.SWITCH(E10,"+",3,"+/-",2,"-",1)</ns0:f>
        <ns0:v>2</ns0:v>
      </ns0:c>
      <ns0:c r="E10" s="75" t="inlineStr">
        <ns0:is>
          <ns0:t>+/-</ns0:t>
        </ns0:is>
      </ns0:c>
      <ns0:c r="F10" s="70" t="n"/>
      <ns0:c r="G10" s="69" t="inlineStr">
        <ns0:is>
          <ns0:t>Strong catalyst</ns0:t>
        </ns0:is>
      </ns0:c>
      <ns0:c r="H10" s="69" t="inlineStr">
        <ns0:is>
          <ns0:t>Potential catalyst</ns0:t>
        </ns0:is>
      </ns0:c>
      <ns0:c r="I10" s="70" t="inlineStr">
        <ns0:is>
          <ns0:t>No clear catalyst</ns0:t>
        </ns0:is>
      </ns0:c>
      <ns0:c r="J10" s="71" t="inlineStr">
        <ns0:is>
          <ns0:t>Judgment: repeat quality/documentation work is a potential catalyst; penetration unknown. C1/C2/C8/C9</ns0:t>
        </ns0:is>
      </ns0:c>
    </ns0:row>
    <ns0:row r="11" ht="52" customHeight="1">
      <ns0:c r="A11" s="63" t="n"/>
      <ns0:c r="B11" s="72" t="inlineStr">
        <ns0:is>
          <ns0:t>- future growth expectations</ns0:t>
        </ns0:is>
      </ns0:c>
      <ns0:c r="C11" s="73" t="n"/>
      <ns0:c r="D11" s="74">
        <ns0:f t="array" ref="D11">_xlfn.SWITCH(E11,"+",3,"+/-",2,"-",1)</ns0:f>
        <ns0:v>2</ns0:v>
      </ns0:c>
      <ns0:c r="E11" s="75" t="inlineStr">
        <ns0:is>
          <ns0:t>+/-</ns0:t>
        </ns0:is>
      </ns0:c>
      <ns0:c r="F11" s="70" t="n"/>
      <ns0:c r="G11" s="69" t="inlineStr">
        <ns0:is>
          <ns0:t>Mostly Tailwinds</ns0:t>
        </ns0:is>
      </ns0:c>
      <ns0:c r="H11" s="69" t="inlineStr">
        <ns0:is>
          <ns0:t>Mix of Tailwinds/Headwinds</ns0:t>
        </ns0:is>
      </ns0:c>
      <ns0:c r="I11" s="70" t="inlineStr">
        <ns0:is>
          <ns0:t>Mostly Headwinds</ns0:t>
        </ns0:is>
      </ns0:c>
      <ns0:c r="J11" s="71" t="inlineStr">
        <ns0:is>
          <ns0:t>Judgment: precision requirements supportive; competing in-house/OEM options and unverified niche outlook temper tailwinds. C6/C8/C11</ns0:t>
        </ns0:is>
      </ns0:c>
    </ns0:row>
    <ns0:row r="12" ht="52" customHeight="1">
      <ns0:c r="A12" s="63" t="n"/>
      <ns0:c r="B12" s="76" t="inlineStr">
        <ns0:is>
          <ns0:t>- Evidence to support a catalyst</ns0:t>
        </ns0:is>
      </ns0:c>
      <ns0:c r="C12" s="77" t="n"/>
      <ns0:c r="D12" s="78">
        <ns0:f t="array" ref="D12">_xlfn.SWITCH(E12,"+",3,"+/-",2,"-",1)</ns0:f>
        <ns0:v>2</ns0:v>
      </ns0:c>
      <ns0:c r="E12" s="75" t="inlineStr">
        <ns0:is>
          <ns0:t>+/-</ns0:t>
        </ns0:is>
      </ns0:c>
      <ns0:c r="F12" s="79" t="n"/>
      <ns0:c r="G12" s="80" t="inlineStr">
        <ns0:is>
          <ns0:t>Strong catalyst</ns0:t>
        </ns0:is>
      </ns0:c>
      <ns0:c r="H12" s="80" t="inlineStr">
        <ns0:is>
          <ns0:t>Potential catalyst</ns0:t>
        </ns0:is>
      </ns0:c>
      <ns0:c r="I12" s="79" t="inlineStr">
        <ns0:is>
          <ns0:t>No clear catalyst</ns0:t>
        </ns0:is>
      </ns0:c>
      <ns0:c r="J12" s="81" t="inlineStr">
        <ns0:is>
          <ns0:t>Provider records and corporate demand establish need, not a quantified catalyst for this precise niche. C1/C2/C6</ns0:t>
        </ns0:is>
      </ns0:c>
    </ns0:row>
    <ns0:row r="13" ht="26" customHeight="1">
      <ns0:c r="A13" s="63" t="n"/>
      <ns0:c r="B13" s="66" t="inlineStr">
        <ns0:is>
          <ns0:t>Size and Fragmentation</ns0:t>
        </ns0:is>
      </ns0:c>
      <ns0:c r="C13" s="67">
        <ns0:f>AVERAGE(D14:D15)</ns0:f>
        <ns0:v>1.0</ns0:v>
      </ns0:c>
      <ns0:c r="D13" s="68" t="n">
        <ns0:v>0.1</ns0:v>
      </ns0:c>
      <ns0:c r="E13" s="69" t="n"/>
      <ns0:c r="F13" s="70" t="n"/>
      <ns0:c r="G13" s="63" t="n"/>
      <ns0:c r="H13" s="63" t="n"/>
      <ns0:c r="I13" s="70" t="n"/>
      <ns0:c r="J13" s="71" t="n"/>
    </ns0:row>
    <ns0:row r="14" ht="52" customHeight="1">
      <ns0:c r="A14" s="63" t="n"/>
      <ns0:c r="B14" s="72" t="inlineStr">
        <ns0:is>
          <ns0:t>- Number of players</ns0:t>
        </ns0:is>
      </ns0:c>
      <ns0:c r="C14" s="73" t="n"/>
      <ns0:c r="D14" s="74">
        <ns0:f t="array" ref="D14">_xlfn.SWITCH(E14,"+",3,"+/-",2,"-",1)</ns0:f>
        <ns0:v>1</ns0:v>
      </ns0:c>
      <ns0:c r="E14" s="75" t="inlineStr">
        <ns0:is>
          <ns0:t>-</ns0:t>
        </ns0:is>
      </ns0:c>
      <ns0:c r="F14" s="70" t="n"/>
      <ns0:c r="G14" s="69" t="inlineStr">
        <ns0:is>
          <ns0:t>Thousands of players</ns0:t>
        </ns0:is>
      </ns0:c>
      <ns0:c r="H14" s="69" t="inlineStr">
        <ns0:is>
          <ns0:t>Hundreds of players</ns0:t>
        </ns0:is>
      </ns0:c>
      <ns0:c r="I14" s="69" t="inlineStr">
        <ns0:is>
          <ns0:t>Dozens of players</ns0:t>
        </ns0:is>
      </ns0:c>
      <ns0:c r="J14" s="71" t="inlineStr">
        <ns0:is>
          <ns0:t>Unknown independent national population. Three ownership claims among five examples are not market size. C1-C5/C10</ns0:t>
        </ns0:is>
      </ns0:c>
    </ns0:row>
    <ns0:row r="15" ht="52" customHeight="1">
      <ns0:c r="A15" s="63" t="n"/>
      <ns0:c r="B15" s="76" t="inlineStr">
        <ns0:is>
          <ns0:t>- Market share concentration</ns0:t>
        </ns0:is>
      </ns0:c>
      <ns0:c r="C15" s="77" t="n"/>
      <ns0:c r="D15" s="78">
        <ns0:f t="array" ref="D15">_xlfn.SWITCH(E15,"+",3,"+/-",2,"-",1)</ns0:f>
        <ns0:v>1</ns0:v>
      </ns0:c>
      <ns0:c r="E15" s="75" t="inlineStr">
        <ns0:is>
          <ns0:t>-</ns0:t>
        </ns0:is>
      </ns0:c>
      <ns0:c r="F15" s="79" t="n"/>
      <ns0:c r="G15" s="80" t="inlineStr">
        <ns0:is>
          <ns0:t>Largest have &lt;10% mkt sh.</ns0:t>
        </ns0:is>
      </ns0:c>
      <ns0:c r="H15" s="80" t="inlineStr">
        <ns0:is>
          <ns0:t>Largest have &lt;25% mkt sh.</ns0:t>
        </ns0:is>
      </ns0:c>
      <ns0:c r="I15" s="79" t="inlineStr">
        <ns0:is>
          <ns0:t>Largest have &gt;50% mkt sh.</ns0:t>
        </ns0:is>
      </ns0:c>
      <ns0:c r="J15" s="81" t="inlineStr">
        <ns0:is>
          <ns0:t>Unknown largest-player share; consolidation proves presence, not concentration percentage. C5/C11</ns0:t>
        </ns0:is>
      </ns0:c>
    </ns0:row>
    <ns0:row r="16" ht="26" customHeight="1">
      <ns0:c r="A16" s="63" t="n"/>
      <ns0:c r="B16" s="66" t="inlineStr">
        <ns0:is>
          <ns0:t>Industry Economics</ns0:t>
        </ns0:is>
      </ns0:c>
      <ns0:c r="C16" s="67">
        <ns0:f>AVERAGE(D17:D19)</ns0:f>
        <ns0:v>1.0</ns0:v>
      </ns0:c>
      <ns0:c r="D16" s="68" t="n">
        <ns0:v>0.1</ns0:v>
      </ns0:c>
      <ns0:c r="E16" s="69" t="n"/>
      <ns0:c r="F16" s="70" t="n"/>
      <ns0:c r="G16" s="63" t="n"/>
      <ns0:c r="H16" s="63" t="n"/>
      <ns0:c r="I16" s="70" t="n"/>
      <ns0:c r="J16" s="71" t="n"/>
    </ns0:row>
    <ns0:row r="17" ht="52" customHeight="1">
      <ns0:c r="A17" s="63" t="n"/>
      <ns0:c r="B17" s="72" t="inlineStr">
        <ns0:is>
          <ns0:t>- Average industry gross margins</ns0:t>
        </ns0:is>
      </ns0:c>
      <ns0:c r="C17" s="73" t="n"/>
      <ns0:c r="D17" s="74">
        <ns0:f t="array" ref="D17">_xlfn.SWITCH(E17,"+",3,"+/-",2,"-",1)</ns0:f>
        <ns0:v>1</ns0:v>
      </ns0:c>
      <ns0:c r="E17" s="75" t="inlineStr">
        <ns0:is>
          <ns0:t>-</ns0:t>
        </ns0:is>
      </ns0:c>
      <ns0:c r="F17" s="70" t="n"/>
      <ns0:c r="G17" s="69" t="inlineStr">
        <ns0:is>
          <ns0:t>60-90% gross margins</ns0:t>
        </ns0:is>
      </ns0:c>
      <ns0:c r="H17" s="69" t="inlineStr">
        <ns0:is>
          <ns0:t>40-60% gross margins</ns0:t>
        </ns0:is>
      </ns0:c>
      <ns0:c r="I17" s="70" t="inlineStr">
        <ns0:is>
          <ns0:t>10-40% gross margins</ns0:t>
        </ns0:is>
      </ns0:c>
      <ns0:c r="J17" s="71" t="inlineStr">
        <ns0:is>
          <ns0:t>Unknown typical niche gross margin. Broad-company service gross margin33.4% is only a proxy. C6</ns0:t>
        </ns0:is>
      </ns0:c>
    </ns0:row>
    <ns0:row r="18" ht="52" customHeight="1">
      <ns0:c r="A18" s="63" t="n"/>
      <ns0:c r="B18" s="72" t="inlineStr">
        <ns0:is>
          <ns0:t>- Average industry EBITDA margins</ns0:t>
        </ns0:is>
      </ns0:c>
      <ns0:c r="C18" s="73" t="n"/>
      <ns0:c r="D18" s="74">
        <ns0:f t="array" ref="D18">_xlfn.SWITCH(E18,"+",3,"+/-",2,"-",1)</ns0:f>
        <ns0:v>1</ns0:v>
      </ns0:c>
      <ns0:c r="E18" s="75" t="inlineStr">
        <ns0:is>
          <ns0:t>-</ns0:t>
        </ns0:is>
      </ns0:c>
      <ns0:c r="F18" s="70" t="n"/>
      <ns0:c r="G18" s="69" t="inlineStr">
        <ns0:is>
          <ns0:t>30-60% EBITDA margins</ns0:t>
        </ns0:is>
      </ns0:c>
      <ns0:c r="H18" s="69" t="inlineStr">
        <ns0:is>
          <ns0:t>10-30% EBITDA margins</ns0:t>
        </ns0:is>
      </ns0:c>
      <ns0:c r="I18" s="70" t="inlineStr">
        <ns0:is>
          <ns0:t>&lt;10% EBITDA margins</ns0:t>
        </ns0:is>
      </ns0:c>
      <ns0:c r="J18" s="71" t="inlineStr">
        <ns0:is>
          <ns0:t>Unknown typical niche EBITDA margin; no public peer sample. C6/C7</ns0:t>
        </ns0:is>
      </ns0:c>
    </ns0:row>
    <ns0:row r="19" ht="52" customHeight="1">
      <ns0:c r="A19" s="63" t="n"/>
      <ns0:c r="B19" s="76" t="inlineStr">
        <ns0:is>
          <ns0:t>- Average industry ROTC</ns0:t>
        </ns0:is>
      </ns0:c>
      <ns0:c r="C19" s="77" t="n"/>
      <ns0:c r="D19" s="78">
        <ns0:f t="array" ref="D19">_xlfn.SWITCH(E19,"+",3,"+/-",2,"-",1)</ns0:f>
        <ns0:v>1</ns0:v>
      </ns0:c>
      <ns0:c r="E19" s="75" t="inlineStr">
        <ns0:is>
          <ns0:t>-</ns0:t>
        </ns0:is>
      </ns0:c>
      <ns0:c r="F19" s="79" t="n"/>
      <ns0:c r="G19" s="80" t="inlineStr">
        <ns0:is>
          <ns0:t>&gt;20% ROTC</ns0:t>
        </ns0:is>
      </ns0:c>
      <ns0:c r="H19" s="80" t="inlineStr">
        <ns0:is>
          <ns0:t>10-20% ROTC</ns0:t>
        </ns0:is>
      </ns0:c>
      <ns0:c r="I19" s="79" t="inlineStr">
        <ns0:is>
          <ns0:t>&lt;10% ROTC</ns0:t>
        </ns0:is>
      </ns0:c>
      <ns0:c r="J19" s="81" t="inlineStr">
        <ns0:is>
          <ns0:t>Unknown typical industry return on tangible capital; reference equipment requires investment. No measured ROTC.</ns0:t>
        </ns0:is>
      </ns0:c>
    </ns0:row>
    <ns0:row r="20" ht="26" customHeight="1">
      <ns0:c r="A20" s="63" t="n"/>
      <ns0:c r="B20" s="66" t="inlineStr">
        <ns0:is>
          <ns0:t>Mission Criticality</ns0:t>
        </ns0:is>
      </ns0:c>
      <ns0:c r="C20" s="67">
        <ns0:f>AVERAGE(D21:D23)</ns0:f>
        <ns0:v>2.0</ns0:v>
      </ns0:c>
      <ns0:c r="D20" s="68" t="n">
        <ns0:v>0.15</ns0:v>
      </ns0:c>
      <ns0:c r="E20" s="69" t="n"/>
      <ns0:c r="F20" s="70" t="n"/>
      <ns0:c r="G20" s="63" t="n"/>
      <ns0:c r="H20" s="63" t="n"/>
      <ns0:c r="I20" s="70" t="n"/>
      <ns0:c r="J20" s="71" t="n"/>
    </ns0:row>
    <ns0:row r="21" ht="52" customHeight="1">
      <ns0:c r="A21" s="63" t="n"/>
      <ns0:c r="B21" s="72" t="inlineStr">
        <ns0:is>
          <ns0:t>- Average customer feedback</ns0:t>
        </ns0:is>
      </ns0:c>
      <ns0:c r="C21" s="73" t="n"/>
      <ns0:c r="D21" s="74">
        <ns0:f t="array" ref="D21">_xlfn.SWITCH(E21,"+",3,"+/-",2,"-",1)</ns0:f>
        <ns0:v>1</ns0:v>
      </ns0:c>
      <ns0:c r="E21" s="75" t="inlineStr">
        <ns0:is>
          <ns0:t>-</ns0:t>
        </ns0:is>
      </ns0:c>
      <ns0:c r="F21" s="70" t="n"/>
      <ns0:c r="G21" s="69" t="inlineStr">
        <ns0:is>
          <ns0:t>Positive customer feedback</ns0:t>
        </ns0:is>
      </ns0:c>
      <ns0:c r="H21" s="69" t="inlineStr">
        <ns0:is>
          <ns0:t>Neutral feedback</ns0:t>
        </ns0:is>
      </ns0:c>
      <ns0:c r="I21" s="70" t="inlineStr">
        <ns0:is>
          <ns0:t>Negative feedback</ns0:t>
        </ns0:is>
      </ns0:c>
      <ns0:c r="J21" s="71" t="inlineStr">
        <ns0:is>
          <ns0:t>No independently collected representative customer feedback. Provider testimonials not an industry survey. C1/C2</ns0:t>
        </ns0:is>
      </ns0:c>
    </ns0:row>
    <ns0:row r="22" ht="52" customHeight="1">
      <ns0:c r="A22" s="63" t="n"/>
      <ns0:c r="B22" s="72" t="inlineStr">
        <ns0:is>
          <ns0:t>- Clarity of value proposition</ns0:t>
        </ns0:is>
      </ns0:c>
      <ns0:c r="C22" s="73" t="n"/>
      <ns0:c r="D22" s="74">
        <ns0:f t="array" ref="D22">_xlfn.SWITCH(E22,"+",3,"+/-",2,"-",1)</ns0:f>
        <ns0:v>3</ns0:v>
      </ns0:c>
      <ns0:c r="E22" s="75" t="inlineStr">
        <ns0:is>
          <ns0:t>+</ns0:t>
        </ns0:is>
      </ns0:c>
      <ns0:c r="F22" s="70" t="n"/>
      <ns0:c r="G22" s="69" t="inlineStr">
        <ns0:is>
          <ns0:t>Clear value proposition</ns0:t>
        </ns0:is>
      </ns0:c>
      <ns0:c r="H22" s="69" t="inlineStr">
        <ns0:is>
          <ns0:t>Weaker value proposition</ns0:t>
        </ns0:is>
      </ns0:c>
      <ns0:c r="I22" s="70" t="inlineStr">
        <ns0:is>
          <ns0:t>Unclear value proposition</ns0:t>
        </ns0:is>
      </ns0:c>
      <ns0:c r="J22" s="71" t="inlineStr">
        <ns0:is>
          <ns0:t>Judgment: trustworthy dimensional measurement and certificates directly support manufacturing quality decisions. C3/C8/C9</ns0:t>
        </ns0:is>
      </ns0:c>
    </ns0:row>
    <ns0:row r="23" ht="52" customHeight="1">
      <ns0:c r="A23" s="63" t="n"/>
      <ns0:c r="B23" s="76" t="inlineStr">
        <ns0:is>
          <ns0:t>- Customer switching costs</ns0:t>
        </ns0:is>
      </ns0:c>
      <ns0:c r="C23" s="77" t="n"/>
      <ns0:c r="D23" s="78">
        <ns0:f t="array" ref="D23">_xlfn.SWITCH(E23,"+",3,"+/-",2,"-",1)</ns0:f>
        <ns0:v>2</ns0:v>
      </ns0:c>
      <ns0:c r="E23" s="75" t="inlineStr">
        <ns0:is>
          <ns0:t>+/-</ns0:t>
        </ns0:is>
      </ns0:c>
      <ns0:c r="F23" s="79" t="n"/>
      <ns0:c r="G23" s="80" t="inlineStr">
        <ns0:is>
          <ns0:t>High customers switch costs</ns0:t>
        </ns0:is>
      </ns0:c>
      <ns0:c r="H23" s="80" t="inlineStr">
        <ns0:is>
          <ns0:t>Can be replaced w/effort</ns0:t>
        </ns0:is>
      </ns0:c>
      <ns0:c r="I23" s="79" t="inlineStr">
        <ns0:is>
          <ns0:t>Easy to replace</ns0:t>
        </ns0:is>
      </ns0:c>
      <ns0:c r="J23" s="81" t="inlineStr">
        <ns0:is>
          <ns0:t>Judgment: replacing a qualified lab requires scope/quality and records checks but alternatives exist. C1/C2/C9</ns0:t>
        </ns0:is>
      </ns0:c>
    </ns0:row>
    <ns0:row r="24" ht="26" customHeight="1">
      <ns0:c r="A24" s="63" t="n"/>
      <ns0:c r="B24" s="66" t="inlineStr">
        <ns0:is>
          <ns0:t>Exogeneous Risks</ns0:t>
        </ns0:is>
      </ns0:c>
      <ns0:c r="C24" s="67">
        <ns0:f>AVERAGE(D25:D29)</ns0:f>
        <ns0:v>2.2</ns0:v>
      </ns0:c>
      <ns0:c r="D24" s="68" t="n">
        <ns0:v>0.1</ns0:v>
      </ns0:c>
      <ns0:c r="E24" s="69" t="n"/>
      <ns0:c r="F24" s="70" t="n"/>
      <ns0:c r="G24" s="63" t="n"/>
      <ns0:c r="H24" s="63" t="n"/>
      <ns0:c r="I24" s="70" t="n"/>
      <ns0:c r="J24" s="71" t="n"/>
    </ns0:row>
    <ns0:row r="25" ht="52" customHeight="1">
      <ns0:c r="A25" s="63" t="n"/>
      <ns0:c r="B25" s="72" t="inlineStr">
        <ns0:is>
          <ns0:t>- Visibility on tech adoption and obsolescence</ns0:t>
        </ns0:is>
      </ns0:c>
      <ns0:c r="C25" s="73" t="n"/>
      <ns0:c r="D25" s="74">
        <ns0:f t="array" ref="D25">_xlfn.SWITCH(E25,"+",3,"+/-",2,"-",1)</ns0:f>
        <ns0:v>2</ns0:v>
      </ns0:c>
      <ns0:c r="E25" s="75" t="inlineStr">
        <ns0:is>
          <ns0:t>+/-</ns0:t>
        </ns0:is>
      </ns0:c>
      <ns0:c r="F25" s="70" t="n"/>
      <ns0:c r="G25" s="69" t="inlineStr">
        <ns0:is>
          <ns0:t>High visibility</ns0:t>
        </ns0:is>
      </ns0:c>
      <ns0:c r="H25" s="69" t="inlineStr">
        <ns0:is>
          <ns0:t>Some visibility</ns0:t>
        </ns0:is>
      </ns0:c>
      <ns0:c r="I25" s="70" t="inlineStr">
        <ns0:is>
          <ns0:t>No visibility</ns0:t>
        </ns0:is>
      </ns0:c>
      <ns0:c r="J25" s="71" t="inlineStr">
        <ns0:is>
          <ns0:t>Judgment: physical measurement and repair protected from text automation; documentation/productivity tools changing. C2/C6</ns0:t>
        </ns0:is>
      </ns0:c>
    </ns0:row>
    <ns0:row r="26" ht="52" customHeight="1">
      <ns0:c r="A26" s="63" t="n"/>
      <ns0:c r="B26" s="72" t="inlineStr">
        <ns0:is>
          <ns0:t>- Regulatory risk and frequency of changes</ns0:t>
        </ns0:is>
      </ns0:c>
      <ns0:c r="C26" s="73" t="n"/>
      <ns0:c r="D26" s="74">
        <ns0:f t="array" ref="D26">_xlfn.SWITCH(E26,"+",3,"+/-",2,"-",1)</ns0:f>
        <ns0:v>2</ns0:v>
      </ns0:c>
      <ns0:c r="E26" s="75" t="inlineStr">
        <ns0:is>
          <ns0:t>+/-</ns0:t>
        </ns0:is>
      </ns0:c>
      <ns0:c r="F26" s="70" t="n"/>
      <ns0:c r="G26" s="69" t="inlineStr">
        <ns0:is>
          <ns0:t>Low risk and frequency</ns0:t>
        </ns0:is>
      </ns0:c>
      <ns0:c r="H26" s="69" t="inlineStr">
        <ns0:is>
          <ns0:t>Some risk and frequency</ns0:t>
        </ns0:is>
      </ns0:c>
      <ns0:c r="I26" s="70" t="inlineStr">
        <ns0:is>
          <ns0:t>High risk and frequency</ns0:t>
        </ns0:is>
      </ns0:c>
      <ns0:c r="J26" s="71" t="inlineStr">
        <ns0:is>
          <ns0:t>Judgment: accreditation/quality requirements support demand but require continuing technical compliance. C8/C9</ns0:t>
        </ns0:is>
      </ns0:c>
    </ns0:row>
    <ns0:row r="27" ht="52" customHeight="1">
      <ns0:c r="A27" s="63" t="n"/>
      <ns0:c r="B27" s="72" t="inlineStr">
        <ns0:is>
          <ns0:t>- Liability risks</ns0:t>
        </ns0:is>
      </ns0:c>
      <ns0:c r="C27" s="73" t="n"/>
      <ns0:c r="D27" s="74">
        <ns0:f t="array" ref="D27">_xlfn.SWITCH(E27,"+",3,"+/-",2,"-",1)</ns0:f>
        <ns0:v>2</ns0:v>
      </ns0:c>
      <ns0:c r="E27" s="75" t="inlineStr">
        <ns0:is>
          <ns0:t>+/-</ns0:t>
        </ns0:is>
      </ns0:c>
      <ns0:c r="F27" s="70" t="n"/>
      <ns0:c r="G27" s="69" t="inlineStr">
        <ns0:is>
          <ns0:t>Low liability risks</ns0:t>
        </ns0:is>
      </ns0:c>
      <ns0:c r="H27" s="69" t="inlineStr">
        <ns0:is>
          <ns0:t>Some liability risks</ns0:t>
        </ns0:is>
      </ns0:c>
      <ns0:c r="I27" s="70" t="inlineStr">
        <ns0:is>
          <ns0:t>High liability risks</ns0:t>
        </ns0:is>
      </ns0:c>
      <ns0:c r="J27" s="71" t="inlineStr">
        <ns0:is>
          <ns0:t>Judgment: bad measurements may propagate quality errors; liability is material and not measured. C8</ns0:t>
        </ns0:is>
      </ns0:c>
    </ns0:row>
    <ns0:row r="28" ht="52" customHeight="1">
      <ns0:c r="A28" s="63" t="n"/>
      <ns0:c r="B28" s="72" t="inlineStr">
        <ns0:is>
          <ns0:t>- Cyclicality</ns0:t>
        </ns0:is>
      </ns0:c>
      <ns0:c r="C28" s="73" t="n"/>
      <ns0:c r="D28" s="74">
        <ns0:f t="array" ref="D28">_xlfn.SWITCH(E28,"+",3,"+/-",2,"-",1)</ns0:f>
        <ns0:v>2</ns0:v>
      </ns0:c>
      <ns0:c r="E28" s="75" t="inlineStr">
        <ns0:is>
          <ns0:t>+/-</ns0:t>
        </ns0:is>
      </ns0:c>
      <ns0:c r="F28" s="70" t="n"/>
      <ns0:c r="G28" s="69" t="inlineStr">
        <ns0:is>
          <ns0:t>Low cyclicality</ns0:t>
        </ns0:is>
      </ns0:c>
      <ns0:c r="H28" s="69" t="inlineStr">
        <ns0:is>
          <ns0:t>Some cyclicality</ns0:t>
        </ns0:is>
      </ns0:c>
      <ns0:c r="I28" s="70" t="inlineStr">
        <ns0:is>
          <ns0:t>High cyclicality</ns0:t>
        </ns0:is>
      </ns0:c>
      <ns0:c r="J28" s="71" t="inlineStr">
        <ns0:is>
          <ns0:t>Judgment: repeat measurement persists but manufacturing volumes/capex are cyclical. C1/C6</ns0:t>
        </ns0:is>
      </ns0:c>
    </ns0:row>
    <ns0:row r="29" ht="52" customHeight="1">
      <ns0:c r="A29" s="63" t="n"/>
      <ns0:c r="B29" s="76" t="inlineStr">
        <ns0:is>
          <ns0:t>- Exposure to trends</ns0:t>
        </ns0:is>
      </ns0:c>
      <ns0:c r="C29" s="77" t="n"/>
      <ns0:c r="D29" s="78">
        <ns0:f t="array" ref="D29">_xlfn.SWITCH(E29,"+",3,"+/-",2,"-",1)</ns0:f>
        <ns0:v>3</ns0:v>
      </ns0:c>
      <ns0:c r="E29" s="75" t="inlineStr">
        <ns0:is>
          <ns0:t>+</ns0:t>
        </ns0:is>
      </ns0:c>
      <ns0:c r="F29" s="79" t="n"/>
      <ns0:c r="G29" s="80" t="inlineStr">
        <ns0:is>
          <ns0:t>High resiliency to trends</ns0:t>
        </ns0:is>
      </ns0:c>
      <ns0:c r="H29" s="80" t="inlineStr">
        <ns0:is>
          <ns0:t>Some resiliency to trends</ns0:t>
        </ns0:is>
      </ns0:c>
      <ns0:c r="I29" s="79" t="inlineStr">
        <ns0:is>
          <ns0:t>Changing trends</ns0:t>
        </ns0:is>
      </ns0:c>
      <ns0:c r="J29" s="81" t="inlineStr">
        <ns0:is>
          <ns0:t>Judgment: physical measurement confidence is durable across product fashions. C8/C9</ns0:t>
        </ns0:is>
      </ns0:c>
    </ns0:row>
    <ns0:row r="30" ht="26" customHeight="1">
      <ns0:c r="A30" s="63" t="n"/>
      <ns0:c r="B30" s="66" t="inlineStr">
        <ns0:is>
          <ns0:t>Porter's Five Forces</ns0:t>
        </ns0:is>
      </ns0:c>
      <ns0:c r="C30" s="67">
        <ns0:f>AVERAGE(D31:D36)</ns0:f>
        <ns0:v>1.6666666666666667</ns0:v>
      </ns0:c>
      <ns0:c r="D30" s="68" t="n">
        <ns0:v>0.15</ns0:v>
      </ns0:c>
      <ns0:c r="E30" s="69" t="n"/>
      <ns0:c r="F30" s="70" t="n"/>
      <ns0:c r="G30" s="63" t="n"/>
      <ns0:c r="H30" s="63" t="n"/>
      <ns0:c r="I30" s="70" t="n"/>
      <ns0:c r="J30" s="71" t="n"/>
    </ns0:row>
    <ns0:row r="31" ht="52" customHeight="1">
      <ns0:c r="A31" s="63" t="n"/>
      <ns0:c r="B31" s="72" t="inlineStr">
        <ns0:is>
          <ns0:t>- Prevalence of VC-backed startups</ns0:t>
        </ns0:is>
      </ns0:c>
      <ns0:c r="C31" s="73" t="n"/>
      <ns0:c r="D31" s="74">
        <ns0:f t="array" ref="D31">_xlfn.SWITCH(E31,"+",3,"+/-",2,"-",1)</ns0:f>
        <ns0:v>1</ns0:v>
      </ns0:c>
      <ns0:c r="E31" s="75" t="inlineStr">
        <ns0:is>
          <ns0:t>-</ns0:t>
        </ns0:is>
      </ns0:c>
      <ns0:c r="F31" s="70" t="n"/>
      <ns0:c r="G31" s="69" t="inlineStr">
        <ns0:is>
          <ns0:t>Low</ns0:t>
        </ns0:is>
      </ns0:c>
      <ns0:c r="H31" s="69" t="inlineStr">
        <ns0:is>
          <ns0:t>Some</ns0:t>
        </ns0:is>
      </ns0:c>
      <ns0:c r="I31" s="70" t="inlineStr">
        <ns0:is>
          <ns0:t>High</ns0:t>
        </ns0:is>
      </ns0:c>
      <ns0:c r="J31" s="71" t="inlineStr">
        <ns0:is>
          <ns0:t>Unknown prevalence of VC-backed startups; PE examples do not prove absence. C5/C11</ns0:t>
        </ns0:is>
      </ns0:c>
    </ns0:row>
    <ns0:row r="32" ht="52" customHeight="1">
      <ns0:c r="A32" s="63" t="n"/>
      <ns0:c r="B32" s="72" t="inlineStr">
        <ns0:is>
          <ns0:t>- Level of competition</ns0:t>
        </ns0:is>
      </ns0:c>
      <ns0:c r="C32" s="73" t="n"/>
      <ns0:c r="D32" s="74">
        <ns0:f t="array" ref="D32">_xlfn.SWITCH(E32,"+",3,"+/-",2,"-",1)</ns0:f>
        <ns0:v>1</ns0:v>
      </ns0:c>
      <ns0:c r="E32" s="75" t="inlineStr">
        <ns0:is>
          <ns0:t>-</ns0:t>
        </ns0:is>
      </ns0:c>
      <ns0:c r="F32" s="70" t="n"/>
      <ns0:c r="G32" s="69" t="inlineStr">
        <ns0:is>
          <ns0:t>Low</ns0:t>
        </ns0:is>
      </ns0:c>
      <ns0:c r="H32" s="69" t="inlineStr">
        <ns0:is>
          <ns0:t>Some</ns0:t>
        </ns0:is>
      </ns0:c>
      <ns0:c r="I32" s="70" t="inlineStr">
        <ns0:is>
          <ns0:t>High</ns0:t>
        </ns0:is>
      </ns0:c>
      <ns0:c r="J32" s="71" t="inlineStr">
        <ns0:is>
          <ns0:t>Judgment: established national and sponsor-backed buyers compete with local labs. C5/C6/C11</ns0:t>
        </ns0:is>
      </ns0:c>
    </ns0:row>
    <ns0:row r="33" ht="52" customHeight="1">
      <ns0:c r="A33" s="63" t="n"/>
      <ns0:c r="B33" s="72" t="inlineStr">
        <ns0:is>
          <ns0:t>- State of new entrants</ns0:t>
        </ns0:is>
      </ns0:c>
      <ns0:c r="C33" s="73" t="n"/>
      <ns0:c r="D33" s="74">
        <ns0:f t="array" ref="D33">_xlfn.SWITCH(E33,"+",3,"+/-",2,"-",1)</ns0:f>
        <ns0:v>2</ns0:v>
      </ns0:c>
      <ns0:c r="E33" s="75" t="inlineStr">
        <ns0:is>
          <ns0:t>+/-</ns0:t>
        </ns0:is>
      </ns0:c>
      <ns0:c r="F33" s="70" t="n"/>
      <ns0:c r="G33" s="69" t="inlineStr">
        <ns0:is>
          <ns0:t>Low</ns0:t>
        </ns0:is>
      </ns0:c>
      <ns0:c r="H33" s="69" t="inlineStr">
        <ns0:is>
          <ns0:t>Some</ns0:t>
        </ns0:is>
      </ns0:c>
      <ns0:c r="I33" s="70" t="inlineStr">
        <ns0:is>
          <ns0:t>High</ns0:t>
        </ns0:is>
      </ns0:c>
      <ns0:c r="J33" s="71" t="inlineStr">
        <ns0:is>
          <ns0:t>Judgment: accreditation/technical standards constrain entry without preventing local providers. C1/C9</ns0:t>
        </ns0:is>
      </ns0:c>
    </ns0:row>
    <ns0:row r="34" ht="52" customHeight="1">
      <ns0:c r="A34" s="63" t="n"/>
      <ns0:c r="B34" s="72" t="inlineStr">
        <ns0:is>
          <ns0:t>- Level of supplier power</ns0:t>
        </ns0:is>
      </ns0:c>
      <ns0:c r="C34" s="73" t="n"/>
      <ns0:c r="D34" s="74">
        <ns0:f t="array" ref="D34">_xlfn.SWITCH(E34,"+",3,"+/-",2,"-",1)</ns0:f>
        <ns0:v>2</ns0:v>
      </ns0:c>
      <ns0:c r="E34" s="75" t="inlineStr">
        <ns0:is>
          <ns0:t>+/-</ns0:t>
        </ns0:is>
      </ns0:c>
      <ns0:c r="F34" s="70" t="n"/>
      <ns0:c r="G34" s="69" t="inlineStr">
        <ns0:is>
          <ns0:t>Low</ns0:t>
        </ns0:is>
      </ns0:c>
      <ns0:c r="H34" s="69" t="inlineStr">
        <ns0:is>
          <ns0:t>Some</ns0:t>
        </ns0:is>
      </ns0:c>
      <ns0:c r="I34" s="70" t="inlineStr">
        <ns0:is>
          <ns0:t>High</ns0:t>
        </ns0:is>
      </ns0:c>
      <ns0:c r="J34" s="71" t="inlineStr">
        <ns0:is>
          <ns0:t>Judgment: standards/equipment and specialist labor needed; no evidence of extreme supplier concentration. C1/C8/C9</ns0:t>
        </ns0:is>
      </ns0:c>
    </ns0:row>
    <ns0:row r="35" ht="52" customHeight="1">
      <ns0:c r="A35" s="63" t="n"/>
      <ns0:c r="B35" s="72" t="inlineStr">
        <ns0:is>
          <ns0:t>- Level of customer power</ns0:t>
        </ns0:is>
      </ns0:c>
      <ns0:c r="C35" s="73" t="n"/>
      <ns0:c r="D35" s="74">
        <ns0:f t="array" ref="D35">_xlfn.SWITCH(E35,"+",3,"+/-",2,"-",1)</ns0:f>
        <ns0:v>2</ns0:v>
      </ns0:c>
      <ns0:c r="E35" s="75" t="inlineStr">
        <ns0:is>
          <ns0:t>+/-</ns0:t>
        </ns0:is>
      </ns0:c>
      <ns0:c r="F35" s="70" t="n"/>
      <ns0:c r="G35" s="69" t="inlineStr">
        <ns0:is>
          <ns0:t>Low</ns0:t>
        </ns0:is>
      </ns0:c>
      <ns0:c r="H35" s="69" t="inlineStr">
        <ns0:is>
          <ns0:t>Some</ns0:t>
        </ns0:is>
      </ns0:c>
      <ns0:c r="I35" s="70" t="inlineStr">
        <ns0:is>
          <ns0:t>High</ns0:t>
        </ns0:is>
      </ns0:c>
      <ns0:c r="J35" s="71" t="inlineStr">
        <ns0:is>
          <ns0:t>Judgment: manufacturing buyers can qualify alternatives; trust and turnaround moderate bargaining power. C1/C2</ns0:t>
        </ns0:is>
      </ns0:c>
    </ns0:row>
    <ns0:row r="36" ht="52" customHeight="1">
      <ns0:c r="A36" s="63" t="n"/>
      <ns0:c r="B36" s="76" t="inlineStr">
        <ns0:is>
          <ns0:t>- Threat of substitutes</ns0:t>
        </ns0:is>
      </ns0:c>
      <ns0:c r="C36" s="77" t="n"/>
      <ns0:c r="D36" s="78">
        <ns0:f t="array" ref="D36">_xlfn.SWITCH(E36,"+",3,"+/-",2,"-",1)</ns0:f>
        <ns0:v>2</ns0:v>
      </ns0:c>
      <ns0:c r="E36" s="75" t="inlineStr">
        <ns0:is>
          <ns0:t>+/-</ns0:t>
        </ns0:is>
      </ns0:c>
      <ns0:c r="F36" s="79" t="n"/>
      <ns0:c r="G36" s="80" t="inlineStr">
        <ns0:is>
          <ns0:t>Low</ns0:t>
        </ns0:is>
      </ns0:c>
      <ns0:c r="H36" s="80" t="inlineStr">
        <ns0:is>
          <ns0:t>Some</ns0:t>
        </ns0:is>
      </ns0:c>
      <ns0:c r="I36" s="79" t="inlineStr">
        <ns0:is>
          <ns0:t>High</ns0:t>
        </ns0:is>
      </ns0:c>
      <ns0:c r="J36" s="81" t="inlineStr">
        <ns0:is>
          <ns0:t>Judgment: OEM/in-house calibration substitutes for third-party work; trust/capability differentiates. C6</ns0:t>
        </ns0:is>
      </ns0:c>
    </ns0:row>
    <ns0:row r="37" ht="26" customHeight="1">
      <ns0:c r="A37" s="63" t="n"/>
      <ns0:c r="B37" s="66" t="inlineStr">
        <ns0:is>
          <ns0:t>Value Creation Opportunities</ns0:t>
        </ns0:is>
      </ns0:c>
      <ns0:c r="C37" s="67">
        <ns0:f>AVERAGE(D38:D39)</ns0:f>
        <ns0:v>2.0</ns0:v>
      </ns0:c>
      <ns0:c r="D37" s="68" t="n">
        <ns0:v>0.1</ns0:v>
      </ns0:c>
      <ns0:c r="E37" s="69" t="n"/>
      <ns0:c r="F37" s="70" t="n"/>
      <ns0:c r="G37" s="63" t="n"/>
      <ns0:c r="H37" s="63" t="n"/>
      <ns0:c r="I37" s="70" t="n"/>
      <ns0:c r="J37" s="71" t="n"/>
    </ns0:row>
    <ns0:row r="38" ht="52" customHeight="1">
      <ns0:c r="A38" s="63" t="n"/>
      <ns0:c r="B38" s="72" t="inlineStr">
        <ns0:is>
          <ns0:t>- General complexity of businesses</ns0:t>
        </ns0:is>
      </ns0:c>
      <ns0:c r="C38" s="73" t="n"/>
      <ns0:c r="D38" s="74">
        <ns0:f t="array" ref="D38">_xlfn.SWITCH(E38,"+",3,"+/-",2,"-",1)</ns0:f>
        <ns0:v>2</ns0:v>
      </ns0:c>
      <ns0:c r="E38" s="75" t="inlineStr">
        <ns0:is>
          <ns0:t>+/-</ns0:t>
        </ns0:is>
      </ns0:c>
      <ns0:c r="F38" s="70" t="n"/>
      <ns0:c r="G38" s="69" t="inlineStr">
        <ns0:is>
          <ns0:t>Simple businesses</ns0:t>
        </ns0:is>
      </ns0:c>
      <ns0:c r="H38" s="69" t="inlineStr">
        <ns0:is>
          <ns0:t>Moderate complexity</ns0:t>
        </ns0:is>
      </ns0:c>
      <ns0:c r="I38" s="70" t="inlineStr">
        <ns0:is>
          <ns0:t>Complex businesses</ns0:t>
        </ns0:is>
      </ns0:c>
      <ns0:c r="J38" s="71" t="inlineStr">
        <ns0:is>
          <ns0:t>Judgment: specialist metrology and quality systems create moderate technical complexity. C1/C9</ns0:t>
        </ns0:is>
      </ns0:c>
    </ns0:row>
    <ns0:row r="39" ht="52" customHeight="1">
      <ns0:c r="A39" s="63" t="n"/>
      <ns0:c r="B39" s="76" t="inlineStr">
        <ns0:is>
          <ns0:t>- Professionalization opportunities</ns0:t>
        </ns0:is>
      </ns0:c>
      <ns0:c r="C39" s="77" t="n"/>
      <ns0:c r="D39" s="78">
        <ns0:f t="array" ref="D39">_xlfn.SWITCH(E39,"+",3,"+/-",2,"-",1)</ns0:f>
        <ns0:v>2</ns0:v>
      </ns0:c>
      <ns0:c r="E39" s="75" t="inlineStr">
        <ns0:is>
          <ns0:t>+/-</ns0:t>
        </ns0:is>
      </ns0:c>
      <ns0:c r="F39" s="79" t="n"/>
      <ns0:c r="G39" s="80" t="inlineStr">
        <ns0:is>
          <ns0:t>Several actionable levers</ns0:t>
        </ns0:is>
      </ns0:c>
      <ns0:c r="H39" s="80" t="inlineStr">
        <ns0:is>
          <ns0:t>Some actionable levers</ns0:t>
        </ns0:is>
      </ns0:c>
      <ns0:c r="I39" s="79" t="inlineStr">
        <ns0:is>
          <ns0:t>Technical skills required</ns0:t>
        </ns0:is>
      </ns0:c>
      <ns0:c r="J39" s="81" t="inlineStr">
        <ns0:is>
          <ns0:t>Judgment: repeat scheduling, certificate records and turnaround are tangible process levers; not a proven turnaround plan. C1/C2</ns0:t>
        </ns0:is>
      </ns0:c>
    </ns0:row>
    <ns0:row r="40" ht="26" customHeight="1">
      <ns0:c r="A40" s="63" t="n"/>
      <ns0:c r="B40" s="66" t="inlineStr">
        <ns0:is>
          <ns0:t>Impact and Externalities</ns0:t>
        </ns0:is>
      </ns0:c>
      <ns0:c r="C40" s="67">
        <ns0:f>AVERAGE(D41:D42)</ns0:f>
        <ns0:v>2.5</ns0:v>
      </ns0:c>
      <ns0:c r="D40" s="68" t="n">
        <ns0:v>0.05</ns0:v>
      </ns0:c>
      <ns0:c r="E40" s="69" t="n"/>
      <ns0:c r="F40" s="70" t="n"/>
      <ns0:c r="G40" s="63" t="n"/>
      <ns0:c r="H40" s="63" t="n"/>
      <ns0:c r="I40" s="70" t="n"/>
      <ns0:c r="J40" s="71" t="n"/>
    </ns0:row>
    <ns0:row r="41" ht="52" customHeight="1">
      <ns0:c r="A41" s="63" t="n"/>
      <ns0:c r="B41" s="72" t="inlineStr">
        <ns0:is>
          <ns0:t>- Net impact to society</ns0:t>
        </ns0:is>
      </ns0:c>
      <ns0:c r="C41" s="73" t="n"/>
      <ns0:c r="D41" s="74">
        <ns0:f t="array" ref="D41">_xlfn.SWITCH(E41,"+",3,"+/-",2,"-",1)</ns0:f>
        <ns0:v>3</ns0:v>
      </ns0:c>
      <ns0:c r="E41" s="75" t="inlineStr">
        <ns0:is>
          <ns0:t>+</ns0:t>
        </ns0:is>
      </ns0:c>
      <ns0:c r="F41" s="70" t="n"/>
      <ns0:c r="G41" s="69" t="inlineStr">
        <ns0:is>
          <ns0:t>Net positive impact</ns0:t>
        </ns0:is>
      </ns0:c>
      <ns0:c r="H41" s="69" t="inlineStr">
        <ns0:is>
          <ns0:t>Neutral impact</ns0:t>
        </ns0:is>
      </ns0:c>
      <ns0:c r="I41" s="70" t="inlineStr">
        <ns0:is>
          <ns0:t>Net negative impact</ns0:t>
        </ns0:is>
      </ns0:c>
      <ns0:c r="J41" s="71" t="inlineStr">
        <ns0:is>
          <ns0:t>Judgment: reliable measurements support product quality and safety. C8/C9</ns0:t>
        </ns0:is>
      </ns0:c>
    </ns0:row>
    <ns0:row r="42" ht="52" customHeight="1">
      <ns0:c r="A42" s="63" t="n"/>
      <ns0:c r="B42" s="82" t="inlineStr">
        <ns0:is>
          <ns0:t>- Positive or negative externalities</ns0:t>
        </ns0:is>
      </ns0:c>
      <ns0:c r="C42" s="83" t="n"/>
      <ns0:c r="D42" s="74">
        <ns0:f t="array" ref="D42">_xlfn.SWITCH(E42,"+",3,"+/-",2,"-",1)</ns0:f>
        <ns0:v>2</ns0:v>
      </ns0:c>
      <ns0:c r="E42" s="75" t="inlineStr">
        <ns0:is>
          <ns0:t>+/-</ns0:t>
        </ns0:is>
      </ns0:c>
      <ns0:c r="F42" s="84" t="n"/>
      <ns0:c r="G42" s="85" t="inlineStr">
        <ns0:is>
          <ns0:t>Positive externalities</ns0:t>
        </ns0:is>
      </ns0:c>
      <ns0:c r="H42" s="85" t="inlineStr">
        <ns0:is>
          <ns0:t>Neutral externalities</ns0:t>
        </ns0:is>
      </ns0:c>
      <ns0:c r="I42" s="84" t="inlineStr">
        <ns0:is>
          <ns0:t>Negative externalities</ns0:t>
        </ns0:is>
      </ns0:c>
      <ns0:c r="J42" s="86" t="inlineStr">
        <ns0:is>
          <ns0:t>Judgment: quality benefits possible; no measured environmental/social externality study. C8/C9</ns0:t>
        </ns0:is>
      </ns0:c>
    </ns0:row>
    <ns0:row r="43">
      <ns0:c r="B43" s="14" t="inlineStr">
        <ns0:is>
          <ns0:t>Total Score</ns0:t>
        </ns0:is>
      </ns0:c>
      <ns0:c r="C43" s="49">
        <ns0:f>SUMPRODUCT(C8:C42,D8:D42)</ns0:f>
        <ns0:v>1.7325</ns0:v>
      </ns0:c>
      <ns0:c r="D43" s="18" t="inlineStr">
        <ns0:is>
          <ns0:t>Provisional; see methodology. /3 scale.</ns0:t>
        </ns0:is>
      </ns0:c>
      <ns0:c r="E43" s="18" t="n"/>
      <ns0:c r="F43" s="16" t="n"/>
      <ns0:c r="G43" s="16" t="n"/>
      <ns0:c r="H43" s="16" t="n"/>
      <ns0:c r="I43" s="16" t="n"/>
      <ns0:c r="J43" s="17" t="n"/>
    </ns0:row>
    <ns0:row r="44">
      <ns0:c r="D44" s="3" t="n"/>
    </ns0:row>
    <ns0:row r="45" ht="15" customHeight="1"/>
    <ns0:row r="52" ht="15" customHeight="1"/>
    <ns0:row r="59" ht="15" customHeight="1"/>
    <ns0:row r="66" ht="15" customHeight="1"/>
    <ns0:row r="73" ht="15" customHeight="1"/>
    <ns0:row r="80" ht="15" customHeight="1"/>
    <ns0:row r="87" ht="15" customHeight="1"/>
    <ns0:row r="94" ht="15" customHeight="1"/>
  </ns0:sheetData>
  <ns0:mergeCells count="5">
    <ns0:mergeCell ref="G5:I5"/>
    <ns0:mergeCell ref="G45:I45"/>
    <ns0:mergeCell ref="G87:I87"/>
    <ns0:mergeCell ref="G73:I73"/>
    <ns0:mergeCell ref="G59:I59"/>
  </ns0:mergeCells>
  <ns0:pageMargins left="0.7" right="0.7" top="0.75" bottom="0.75" header="0.3" footer="0.3"/>
  <ns0:pageSetup orientation="portrait"/>
</ns0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  <col width="65" customWidth="1" min="3" max="3"/>
  </cols>
  <sheetData>
    <row r="1" ht="65" customHeight="1">
      <c r="A1" s="63" t="inlineStr">
        <is>
          <t>Policy</t>
        </is>
      </c>
      <c r="B1" s="63" t="inlineStr">
        <is>
          <t>Provisional evidence-weighted research score, not an activation decision. Missing quantitative facts receive - (1) as an uncertainty penalty, not a measured adverse result. +/- (2) and + (3) express explicit source-supported judgments; operator claims are labeled. Unknown initial-screen facts remain Unknown. Template category weights and rating mapping unchanged. Target TAM and G&amp;B fit are informational, not extra weighted score inputs.</t>
        </is>
      </c>
      <c r="C1" s="63" t="n"/>
    </row>
    <row r="2" ht="65" customHeight="1">
      <c r="A2" s="63" t="inlineStr">
        <is>
          <t>Repair</t>
        </is>
      </c>
      <c r="B2" s="63" t="inlineStr">
        <is>
          <t>Output-only D34 mapped-rating formula restored; template missing supplier-power numeric rating. Original template unchanged.</t>
        </is>
      </c>
      <c r="C2" s="63" t="n"/>
    </row>
    <row r="3" ht="65" customHeight="1">
      <c r="A3" s="63" t="inlineStr">
        <is>
          <t>Scope</t>
        </is>
      </c>
      <c r="B3" s="63" t="inlineStr">
        <is>
          <t>Eight groups,27 subcriteria. Company examples rows45:99 removed. Target TAM/searcher fit informational.</t>
        </is>
      </c>
      <c r="C3" s="63" t="n"/>
    </row>
    <row r="4" ht="65" customHeight="1">
      <c r="A4" s="63" t="inlineStr">
        <is>
          <t>Formula caches</t>
        </is>
      </c>
      <c r="B4" s="63" t="inlineStr">
        <is>
          <t>Preserved original industry formulas; numeric caches injected and independently verified because local LibreOffice Calc unavailable.</t>
        </is>
      </c>
      <c r="C4" s="63" t="n"/>
    </row>
    <row r="5" ht="65" customHeight="1">
      <c r="A5" s="63" t="inlineStr">
        <is>
          <t>Scale</t>
        </is>
      </c>
      <c r="B5" s="63" t="inlineStr">
        <is>
          <t>C43 SUMPRODUCT already /3; percentage=score/3*100.</t>
        </is>
      </c>
      <c r="C5" s="63" t="n"/>
    </row>
    <row r="6" ht="65" customHeight="1">
      <c r="A6" s="63" t="inlineStr">
        <is>
          <t>Initial screen</t>
        </is>
      </c>
      <c r="B6" s="63" t="inlineStr">
        <is>
          <t>INCOMPLETE; proceed for human review under headless instruction, not a passed investment screen</t>
        </is>
      </c>
      <c r="C6" s="63" t="n"/>
    </row>
    <row r="7" ht="65" customHeight="1">
      <c r="A7" s="63" t="inlineStr">
        <is>
          <t>Source ID</t>
        </is>
      </c>
      <c r="B7" s="63" t="inlineStr">
        <is>
          <t>Title / evidence</t>
        </is>
      </c>
      <c r="C7" s="63" t="inlineStr">
        <is>
          <t>URL</t>
        </is>
      </c>
    </row>
    <row r="8" ht="65" customHeight="1">
      <c r="A8" s="63" t="inlineStr">
        <is>
          <t>I1</t>
        </is>
      </c>
      <c r="B8" s="63" t="inlineStr">
        <is>
          <t>Sequential synthesis and expansion — Gathering and six-output synthesis; original working evidence /tmp/niche-intel-2026-09-14/synthesis.md</t>
        </is>
      </c>
      <c r="C8" s="87" t="inlineStr">
        <is>
          <t>brain/outputs/2026-09-14-niche-intelligence-report.md</t>
        </is>
      </c>
    </row>
    <row r="9" ht="65" customHeight="1">
      <c r="A9" s="63" t="inlineStr">
        <is>
          <t>I2</t>
        </is>
      </c>
      <c r="B9" s="63" t="inlineStr">
        <is>
          <t>Live Industry Research Tracker — Fresh four-tab duplicate/lifecycle check; neither proposed niche appears; killed generic BPO remains excluded.</t>
        </is>
      </c>
      <c r="C9" s="87" t="inlineStr">
        <is>
          <t>https://docs.google.com/spreadsheets/d/1vHx4E1tRTR6V3k7NQeHdCrUjDITJVtZA5YPSIFeSins/edit</t>
        </is>
      </c>
    </row>
    <row r="10" ht="65" customHeight="1">
      <c r="A10" s="63" t="inlineStr">
        <is>
          <t>C1</t>
        </is>
      </c>
      <c r="B10" s="63" t="inlineStr">
        <is>
          <t>Northeast Metrology owner and operating history — Owner Mark Kuehl, took over from father in2008; hundreds of yearly customers, thousands of certificates; manufacturing measurement repair/calibration; East Longmeadow MA.</t>
        </is>
      </c>
      <c r="C10" s="87" t="inlineStr">
        <is>
          <t>https://www.nemetrology.com/about.cfm</t>
        </is>
      </c>
    </row>
    <row r="11" ht="65" customHeight="1">
      <c r="A11" s="63" t="inlineStr">
        <is>
          <t>C2</t>
        </is>
      </c>
      <c r="B11" s="63" t="inlineStr">
        <is>
          <t>Americal calibration services — Self-described family-owned since1997; mechanical/dimensional scope, service lab and on-site work, records portal; Danvers MA.</t>
        </is>
      </c>
      <c r="C11" s="87" t="inlineStr">
        <is>
          <t>https://americalinc.com/</t>
        </is>
      </c>
    </row>
    <row r="12" ht="65" customHeight="1">
      <c r="A12" s="63" t="inlineStr">
        <is>
          <t>C3</t>
        </is>
      </c>
      <c r="B12" s="63" t="inlineStr">
        <is>
          <t>United Standards Lab services — Dimensional/mechanical accredited calibration; service-only model; Bloomington MN.</t>
        </is>
      </c>
      <c r="C12" s="87" t="inlineStr">
        <is>
          <t>https://www.unitedstandardslab.com/</t>
        </is>
      </c>
    </row>
    <row r="13" ht="65" customHeight="1">
      <c r="A13" s="63" t="inlineStr">
        <is>
          <t>C4</t>
        </is>
      </c>
      <c r="B13" s="63" t="inlineStr">
        <is>
          <t>United Standards Lab ownership — Family-owned operation established1965; A2LA accreditation claim.</t>
        </is>
      </c>
      <c r="C13" s="87" t="inlineStr">
        <is>
          <t>https://www.unitedstandardslab.com/about-us</t>
        </is>
      </c>
    </row>
    <row r="14" ht="65" customHeight="1">
      <c r="A14" s="63" t="inlineStr">
        <is>
          <t>C5</t>
        </is>
      </c>
      <c r="B14" s="63" t="inlineStr">
        <is>
          <t>MTA acquires Cal-Tec; MicronPA already acquired — Acquirer primary announcement identifies Cal-Tec and earlier MicronPA acquisitions. These are comps, not independent targets despite stale provider ownership copy.</t>
        </is>
      </c>
      <c r="C14" s="87" t="inlineStr">
        <is>
          <t>https://mtausa.com/news/medical-technology-associates-acquires-cal-tec-labs-inc</t>
        </is>
      </c>
    </row>
    <row r="15" ht="65" customHeight="1">
      <c r="A15" s="63" t="inlineStr">
        <is>
          <t>C6</t>
        </is>
      </c>
      <c r="B15" s="63" t="inlineStr">
        <is>
          <t>Transcat FY2025 SEC annual report — Broad service segment FY2025 revenue $181.428M, 7.0% growth, 33.4% gross margin. NOT standalone dimensional industry EBITDA or market CAGR.</t>
        </is>
      </c>
      <c r="C15" s="87" t="inlineStr">
        <is>
          <t>https://www.sec.gov/Archives/edgar/data/99302/000143774925018483/trns20250331_10k.htm</t>
        </is>
      </c>
    </row>
    <row r="16" ht="65" customHeight="1">
      <c r="A16" s="63" t="inlineStr">
        <is>
          <t>C7</t>
        </is>
      </c>
      <c r="B16" s="63" t="inlineStr">
        <is>
          <t>Transcat FY2026 annual report — FY2026 consolidated revenue$331.9M and adjusted EBITDA$48.7M; service revenue+20% includes acquisition effects; recurrent calibration demand. Company comp only, not industry margin.</t>
        </is>
      </c>
      <c r="C16" s="87" t="inlineStr">
        <is>
          <t>https://www.sec.gov/Archives/edgar/data/99302/000114036126029373/edge20075511x3_ars.pdf</t>
        </is>
      </c>
    </row>
    <row r="17" ht="65" customHeight="1">
      <c r="A17" s="63" t="inlineStr">
        <is>
          <t>C8</t>
        </is>
      </c>
      <c r="B17" s="63" t="inlineStr">
        <is>
          <t>NIST recommended calibration interval — No universal NIST recalibration interval; cadence depends on instrument stability, use, accuracy, contracts and applicable requirements.</t>
        </is>
      </c>
      <c r="C17" s="87" t="inlineStr">
        <is>
          <t>https://www.nist.gov/calibrations/recommended-calibration-interval</t>
        </is>
      </c>
    </row>
    <row r="18" ht="65" customHeight="1">
      <c r="A18" s="63" t="inlineStr">
        <is>
          <t>C9</t>
        </is>
      </c>
      <c r="B18" s="63" t="inlineStr">
        <is>
          <t>A2LA calibration program — Accreditation assesses technical calibration competence; supports manufacturer/lab measurement confidence.</t>
        </is>
      </c>
      <c r="C18" s="87" t="inlineStr">
        <is>
          <t>https://a2la.org/accreditation/calibration/</t>
        </is>
      </c>
    </row>
    <row r="19" ht="65" customHeight="1">
      <c r="A19" s="63" t="inlineStr">
        <is>
          <t>C10</t>
        </is>
      </c>
      <c r="B19" s="63" t="inlineStr">
        <is>
          <t>A2LA accredited organization directory — Live searchable taxonomy/density route; no filtered independent US dimensional-firm count produced.</t>
        </is>
      </c>
      <c r="C19" s="87" t="inlineStr">
        <is>
          <t>https://customer.a2la.org/index.cfm?event=directory.index</t>
        </is>
      </c>
    </row>
    <row r="20" ht="65" customHeight="1">
      <c r="A20" s="63" t="inlineStr">
        <is>
          <t>C11</t>
        </is>
      </c>
      <c r="B20" s="63" t="inlineStr">
        <is>
          <t>Trescal acquisition announcements — January2026 release lists14 global acquisitions; clear consolidator activity, not 14 US dimensional firms.</t>
        </is>
      </c>
      <c r="C20" s="87" t="inlineStr">
        <is>
          <t>https://www.trescal.com/news/?category=press-release</t>
        </is>
      </c>
    </row>
    <row r="21" ht="65" customHeight="1">
      <c r="A21" s="63" t="inlineStr">
        <is>
          <t>C12</t>
        </is>
      </c>
      <c r="B21" s="63" t="inlineStr">
        <is>
          <t>Current Calder teaser (gathered evidence) — Anonymous dimensional/metrology provider embedded in distributor; seller cashflow not treated as EBITDA/industry margin.</t>
        </is>
      </c>
      <c r="C21" s="87" t="inlineStr">
        <is>
          <t>brain/traces/agents/2026-09-14-niche-intelligence.md</t>
        </is>
      </c>
    </row>
    <row r="22" ht="65" customHeight="1">
      <c r="A22" s="63" t="inlineStr">
        <is>
          <t>C13</t>
        </is>
      </c>
      <c r="B22" s="63" t="inlineStr">
        <is>
          <t>MicronPA service description — York PA dimensional/gage services, stale privately-owned copy superseded by acquirer announcement.</t>
        </is>
      </c>
      <c r="C22" s="87" t="inlineStr">
        <is>
          <t>https://micronpa.com/gage-calibration-services/</t>
        </is>
      </c>
    </row>
    <row r="23" ht="65" customHeight="1">
      <c r="A23" s="63" t="inlineStr">
        <is>
          <t>C14</t>
        </is>
      </c>
      <c r="B23" s="63" t="inlineStr">
        <is>
          <t>Cal-Tec provider description — Pittsburgh PA dimensional/electronic/process services, family-owned copy superseded by MTA announcement.</t>
        </is>
      </c>
      <c r="C23" s="87" t="inlineStr">
        <is>
          <t>https://cal-tec.com/</t>
        </is>
      </c>
    </row>
  </sheetData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4" r:id="rId7"/>
    <hyperlink xmlns:r="http://schemas.openxmlformats.org/officeDocument/2006/relationships" ref="C15" r:id="rId8"/>
    <hyperlink xmlns:r="http://schemas.openxmlformats.org/officeDocument/2006/relationships" ref="C16" r:id="rId9"/>
    <hyperlink xmlns:r="http://schemas.openxmlformats.org/officeDocument/2006/relationships" ref="C17" r:id="rId10"/>
    <hyperlink xmlns:r="http://schemas.openxmlformats.org/officeDocument/2006/relationships" ref="C18" r:id="rId11"/>
    <hyperlink xmlns:r="http://schemas.openxmlformats.org/officeDocument/2006/relationships" ref="C19" r:id="rId12"/>
    <hyperlink xmlns:r="http://schemas.openxmlformats.org/officeDocument/2006/relationships" ref="C20" r:id="rId13"/>
    <hyperlink xmlns:r="http://schemas.openxmlformats.org/officeDocument/2006/relationships" ref="C21" r:id="rId14"/>
    <hyperlink xmlns:r="http://schemas.openxmlformats.org/officeDocument/2006/relationships" ref="C22" r:id="rId15"/>
    <hyperlink xmlns:r="http://schemas.openxmlformats.org/officeDocument/2006/relationships" ref="C23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G&amp;B / Codex</dc:creator>
  <dc:title xmlns:dc="http://purl.org/dc/elements/1.1/">Independent Dimensional Metrology and Gauge-Calibration Services for Precision Manufacturers — Industry Scorecard</dc:title>
  <dc:description xmlns:dc="http://purl.org/dc/elements/1.1/">Provisional evidence-weighted research score, not an activation decision. Missing quantitative facts receive - (1) as an uncertainty penalty, not a measured adverse result. +/- (2) and + (3) express explicit source-supported judgments; operator claims are labeled. Unknown initial-screen facts remain Unknown. Template category weights and rating mapping unchanged. Target TAM and G&amp;B fit are informational, not extra weighted score inputs.</dc:description>
  <dc:subject xmlns:dc="http://purl.org/dc/elements/1.1/">Provisional industry evaluation</dc:subject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2026-09-15T02:58:18Z</dcterms:modified>
  <cp:lastModifiedBy>G&amp;B / Codex</cp:lastModifiedBy>
</cp:coreProperties>
</file>