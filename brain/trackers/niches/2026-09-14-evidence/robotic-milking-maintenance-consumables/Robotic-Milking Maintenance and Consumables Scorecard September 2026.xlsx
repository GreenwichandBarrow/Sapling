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  <sheet xmlns:r="http://schemas.openxmlformats.org/officeDocument/2006/relationships" name="Methodology and Sources" sheetId="3" state="visible" r:id="rId3"/>
  </sheets>
  <definedNames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5">
    <xf numFmtId="0" fontId="1" fillId="0" borderId="0"/>
    <xf numFmtId="9" fontId="1" fillId="0" borderId="0"/>
    <xf numFmtId="0" fontId="2" fillId="0" borderId="0"/>
    <xf numFmtId="9" fontId="1" fillId="0" borderId="0"/>
    <xf numFmtId="0" fontId="11" fillId="0" borderId="0"/>
  </cellStyleXfs>
  <cellXfs count="88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0" borderId="5" applyAlignment="1" pivotButton="0" quotePrefix="0" xfId="2">
      <alignment vertical="top" wrapText="1"/>
    </xf>
    <xf numFmtId="2" fontId="6" fillId="3" borderId="2" applyAlignment="1" pivotButton="0" quotePrefix="0" xfId="2">
      <alignment vertical="top" wrapText="1"/>
    </xf>
    <xf numFmtId="9" fontId="5" fillId="0" borderId="0" applyAlignment="1" pivotButton="0" quotePrefix="0" xfId="2">
      <alignment vertical="top" wrapText="1"/>
    </xf>
    <xf numFmtId="0" fontId="2" fillId="0" borderId="0" applyAlignment="1" pivotButton="0" quotePrefix="0" xfId="2">
      <alignment vertical="top" wrapText="1"/>
    </xf>
    <xf numFmtId="0" fontId="2" fillId="0" borderId="6" applyAlignment="1" pivotButton="0" quotePrefix="0" xfId="2">
      <alignment vertical="top" wrapText="1"/>
    </xf>
    <xf numFmtId="0" fontId="2" fillId="0" borderId="19" applyAlignment="1" pivotButton="0" quotePrefix="0" xfId="2">
      <alignment vertical="top" wrapText="1"/>
    </xf>
    <xf numFmtId="0" fontId="2" fillId="0" borderId="5" applyAlignment="1" pivotButton="0" quotePrefix="1" xfId="2">
      <alignment vertical="top" wrapText="1"/>
    </xf>
    <xf numFmtId="2" fontId="2" fillId="0" borderId="0" applyAlignment="1" pivotButton="0" quotePrefix="0" xfId="2">
      <alignment vertical="top" wrapText="1"/>
    </xf>
    <xf numFmtId="0" fontId="4" fillId="0" borderId="0" applyAlignment="1" pivotButton="0" quotePrefix="0" xfId="2">
      <alignment vertical="top" wrapText="1"/>
    </xf>
    <xf numFmtId="0" fontId="7" fillId="3" borderId="2" applyAlignment="1" pivotButton="0" quotePrefix="0" xfId="2">
      <alignment vertical="top" wrapText="1"/>
    </xf>
    <xf numFmtId="0" fontId="2" fillId="0" borderId="14" applyAlignment="1" pivotButton="0" quotePrefix="1" xfId="2">
      <alignment vertical="top" wrapText="1"/>
    </xf>
    <xf numFmtId="2" fontId="2" fillId="0" borderId="15" applyAlignment="1" pivotButton="0" quotePrefix="0" xfId="2">
      <alignment vertical="top" wrapText="1"/>
    </xf>
    <xf numFmtId="0" fontId="4" fillId="0" borderId="20" applyAlignment="1" pivotButton="0" quotePrefix="0" xfId="2">
      <alignment vertical="top" wrapText="1"/>
    </xf>
    <xf numFmtId="0" fontId="2" fillId="0" borderId="16" applyAlignment="1" pivotButton="0" quotePrefix="0" xfId="2">
      <alignment vertical="top" wrapText="1"/>
    </xf>
    <xf numFmtId="0" fontId="2" fillId="0" borderId="15" applyAlignment="1" pivotButton="0" quotePrefix="0" xfId="2">
      <alignment vertical="top" wrapText="1"/>
    </xf>
    <xf numFmtId="0" fontId="2" fillId="0" borderId="13" applyAlignment="1" pivotButton="0" quotePrefix="0" xfId="2">
      <alignment vertical="top" wrapText="1"/>
    </xf>
    <xf numFmtId="0" fontId="2" fillId="0" borderId="7" applyAlignment="1" pivotButton="0" quotePrefix="1" xfId="2">
      <alignment vertical="top" wrapText="1"/>
    </xf>
    <xf numFmtId="2" fontId="2" fillId="0" borderId="8" applyAlignment="1" pivotButton="0" quotePrefix="0" xfId="2">
      <alignment vertical="top" wrapText="1"/>
    </xf>
    <xf numFmtId="0" fontId="2" fillId="0" borderId="9" applyAlignment="1" pivotButton="0" quotePrefix="0" xfId="2">
      <alignment vertical="top" wrapText="1"/>
    </xf>
    <xf numFmtId="0" fontId="2" fillId="0" borderId="8" applyAlignment="1" pivotButton="0" quotePrefix="0" xfId="2">
      <alignment vertical="top" wrapText="1"/>
    </xf>
    <xf numFmtId="0" fontId="2" fillId="0" borderId="18" applyAlignment="1" pivotButton="0" quotePrefix="0" xfId="2">
      <alignment vertical="top" wrapText="1"/>
    </xf>
    <xf numFmtId="0" fontId="11" fillId="0" borderId="0" applyAlignment="1" pivotButton="0" quotePrefix="0" xfId="4">
      <alignment vertical="top" wrapText="1"/>
    </xf>
  </cellXfs>
  <cellStyles count="5">
    <cellStyle name="Normal" xfId="0" builtinId="0"/>
    <cellStyle name="Percent" xfId="1" builtinId="5"/>
    <cellStyle name="Normal 2" xfId="2"/>
    <cellStyle name="Percent 2" xfId="3"/>
    <cellStyle name="Hyperlink" xfId="4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brain/outputs/2026-09-14-niche-intelligence-report.md" TargetMode="External" Id="rId1"/><Relationship Type="http://schemas.openxmlformats.org/officeDocument/2006/relationships/hyperlink" Target="https://docs.google.com/spreadsheets/d/1vHx4E1tRTR6V3k7NQeHdCrUjDITJVtZA5YPSIFeSins/edit" TargetMode="External" Id="rId2"/><Relationship Type="http://schemas.openxmlformats.org/officeDocument/2006/relationships/hyperlink" Target="https://ers.usda.gov/data-products/charts-of-note/114194" TargetMode="External" Id="rId3"/><Relationship Type="http://schemas.openxmlformats.org/officeDocument/2006/relationships/hyperlink" Target="https://www.lelyna.com/us/" TargetMode="External" Id="rId4"/><Relationship Type="http://schemas.openxmlformats.org/officeDocument/2006/relationships/hyperlink" Target="https://www.jbzdairy.com/" TargetMode="External" Id="rId5"/><Relationship Type="http://schemas.openxmlformats.org/officeDocument/2006/relationships/hyperlink" Target="https://www.jbzdairy.com/contact" TargetMode="External" Id="rId6"/><Relationship Type="http://schemas.openxmlformats.org/officeDocument/2006/relationships/hyperlink" Target="https://www.gortersclayanddairy.com/" TargetMode="External" Id="rId7"/><Relationship Type="http://schemas.openxmlformats.org/officeDocument/2006/relationships/hyperlink" Target="https://www.thomsonservices.com/supplies" TargetMode="External" Id="rId8"/><Relationship Type="http://schemas.openxmlformats.org/officeDocument/2006/relationships/hyperlink" Target="https://www.lelyna.com/us/centers/new-england/" TargetMode="External" Id="rId9"/><Relationship Type="http://schemas.openxmlformats.org/officeDocument/2006/relationships/hyperlink" Target="https://www.lelylife.com/progressive-dairy-service-supply" TargetMode="External" Id="rId10"/><Relationship Type="http://schemas.openxmlformats.org/officeDocument/2006/relationships/hyperlink" Target="https://www.lelycentermidatlantic.com/index.php/2025/08/01/10-minutes-to-better-robot-performance-lely-center-mid-atlantics-daily-checklist/" TargetMode="External" Id="rId11"/><Relationship Type="http://schemas.openxmlformats.org/officeDocument/2006/relationships/hyperlink" Target="https://schneiderresources.com/" TargetMode="External" Id="rId12"/><Relationship Type="http://schemas.openxmlformats.org/officeDocument/2006/relationships/hyperlink" Target="https://mail.google.com/mail/u/0/#all/19e656820ec74fd6" TargetMode="External" Id="rId13"/><Relationship Type="http://schemas.openxmlformats.org/officeDocument/2006/relationships/hyperlink" Target="brain/traces/agents/2026-09-14-niche-intelligence.md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2" max="2"/>
    <col width="18" customWidth="1" min="3" max="3"/>
    <col width="42" customWidth="1" min="4" max="4"/>
    <col width="90" customWidth="1" min="5" max="5"/>
  </cols>
  <sheetData>
    <row r="1">
      <c r="A1" s="63" t="n"/>
      <c r="B1" s="63" t="n"/>
      <c r="C1" s="63" t="n"/>
      <c r="D1" s="63" t="n"/>
      <c r="E1" s="63" t="n"/>
    </row>
    <row r="2">
      <c r="A2" s="63" t="n"/>
      <c r="B2" s="63" t="n"/>
      <c r="C2" s="63" t="n"/>
      <c r="D2" s="63" t="n"/>
      <c r="E2" s="63" t="n"/>
    </row>
    <row r="3" ht="45" customHeight="1">
      <c r="A3" s="63" t="n"/>
      <c r="B3" s="64" t="inlineStr">
        <is>
          <t>Robotic-Milking Equipment Preventive Maintenance and Consumable Route Services for Dairy Farms</t>
        </is>
      </c>
      <c r="C3" s="63" t="n"/>
      <c r="D3" s="63" t="n"/>
      <c r="E3" s="63" t="n"/>
    </row>
    <row r="4">
      <c r="A4" s="63" t="n"/>
      <c r="B4" s="63" t="n"/>
      <c r="C4" s="63" t="n"/>
      <c r="D4" s="63" t="n"/>
      <c r="E4" s="63" t="n"/>
    </row>
    <row r="5">
      <c r="A5" s="63" t="n"/>
      <c r="B5" s="65" t="inlineStr">
        <is>
          <t>Initial Screen</t>
        </is>
      </c>
      <c r="C5" s="65" t="inlineStr">
        <is>
          <t>Pass/Fail</t>
        </is>
      </c>
      <c r="D5" s="65" t="inlineStr">
        <is>
          <t>Criteria</t>
        </is>
      </c>
      <c r="E5" s="65" t="inlineStr">
        <is>
          <t>Notes</t>
        </is>
      </c>
    </row>
    <row r="6" ht="55" customHeight="1">
      <c r="A6" s="63" t="n"/>
      <c r="B6" s="63" t="inlineStr">
        <is>
          <t>Margins</t>
        </is>
      </c>
      <c r="C6" s="63" t="inlineStr">
        <is>
          <t>Unknown</t>
        </is>
      </c>
      <c r="D6" s="63" t="inlineStr">
        <is>
          <t>15%+ EBITDA margins required</t>
        </is>
      </c>
      <c r="E6" s="63" t="inlineStr">
        <is>
          <t>Typical service EBITDA&gt;=15% unverified. Anonymous listing implies17.7% across mixed dealer/service business; seller assertion, not industry or standalone service metric.</t>
        </is>
      </c>
    </row>
    <row r="7" ht="55" customHeight="1">
      <c r="A7" s="63" t="n"/>
      <c r="B7" s="63" t="inlineStr">
        <is>
          <t>Recurring Revenue</t>
        </is>
      </c>
      <c r="C7" s="63" t="inlineStr">
        <is>
          <t>Pass</t>
        </is>
      </c>
      <c r="D7" s="63" t="inlineStr">
        <is>
          <t>Existing recurring/contractual revenue or clear path to convert</t>
        </is>
      </c>
      <c r="E7" s="63" t="inlineStr">
        <is>
          <t>Consumable routes and installed-base maintenance observable; Mid-Atlantic provider describes monthly-fee service pilot. Contract penetration, retention and mature contract profitability unknown.</t>
        </is>
      </c>
    </row>
    <row r="8" ht="55" customHeight="1">
      <c r="A8" s="63" t="n"/>
      <c r="B8" s="63" t="inlineStr">
        <is>
          <t>Industry Growth</t>
        </is>
      </c>
      <c r="C8" s="63" t="inlineStr">
        <is>
          <t>Unknown</t>
        </is>
      </c>
      <c r="D8" s="63" t="inlineStr">
        <is>
          <t>Growth rate above GDP (~3%+)</t>
        </is>
      </c>
      <c r="E8" s="63" t="inlineStr">
        <is>
          <t>Primary USDA historical automation adoption tailwind supported; exact current service CAGR above GDP not established.</t>
        </is>
      </c>
    </row>
    <row r="9" ht="55" customHeight="1">
      <c r="A9" s="63" t="n"/>
      <c r="B9" s="63" t="inlineStr">
        <is>
          <t>Growth TAM</t>
        </is>
      </c>
      <c r="C9" s="63" t="inlineStr">
        <is>
          <t>Unknown</t>
        </is>
      </c>
      <c r="D9" s="63" t="inlineStr">
        <is>
          <t>$500M+ total addressable market (investor floor)</t>
        </is>
      </c>
      <c r="E9" s="63" t="inlineStr">
        <is>
          <t>US robot-maintenance/consumables service TAM unverified; robot hardware or total dairy output cannot substitute.</t>
        </is>
      </c>
    </row>
    <row r="10">
      <c r="A10" s="63" t="n"/>
      <c r="B10" s="63" t="n"/>
      <c r="C10" s="63" t="n"/>
      <c r="D10" s="63" t="n"/>
      <c r="E10" s="63" t="n"/>
    </row>
    <row r="11">
      <c r="A11" s="63" t="n"/>
      <c r="B11" s="65" t="inlineStr">
        <is>
          <t>VERDICT</t>
        </is>
      </c>
      <c r="C11" s="63" t="inlineStr"/>
      <c r="D11" s="63" t="inlineStr">
        <is>
          <t>INCOMPLETE — review only</t>
        </is>
      </c>
      <c r="E11" s="63" t="inlineStr">
        <is>
          <t>Missing facts not forced to Pass; no activation.</t>
        </is>
      </c>
    </row>
    <row r="12">
      <c r="A12" s="63" t="n"/>
      <c r="B12" s="63" t="n"/>
      <c r="C12" s="63" t="n"/>
      <c r="D12" s="63" t="n"/>
      <c r="E12" s="63" t="n"/>
    </row>
    <row r="13">
      <c r="A13" s="63" t="n"/>
      <c r="B13" s="65" t="inlineStr">
        <is>
          <t>Target TAM (informational — not scored)</t>
        </is>
      </c>
      <c r="C13" s="63" t="n"/>
      <c r="D13" s="63" t="n"/>
      <c r="E13" s="63" t="n"/>
    </row>
    <row r="14" ht="55" customHeight="1">
      <c r="A14" s="63" t="n"/>
      <c r="B14" s="63" t="inlineStr">
        <is>
          <t>Number of independently owned acquisition candidates</t>
        </is>
      </c>
      <c r="C14" s="63" t="inlineStr">
        <is>
          <t>Unknown</t>
        </is>
      </c>
      <c r="D14" s="63" t="inlineStr">
        <is>
          <t>Determines sprint duration, not go/no-go</t>
        </is>
      </c>
      <c r="E14" s="63" t="inlineStr">
        <is>
          <t>5 named providers;4 current family/named-owner claims,1 historical2021 ownership claim; Lely directory39 locations includes branches; scaled independent service-heavy pool unknown</t>
        </is>
      </c>
    </row>
    <row r="15">
      <c r="A15" s="63" t="n"/>
      <c r="B15" s="63" t="inlineStr">
        <is>
          <t>Sprint duration estimate</t>
        </is>
      </c>
      <c r="C15" s="63" t="inlineStr">
        <is>
          <t>Unassigned</t>
        </is>
      </c>
      <c r="D15" s="63" t="inlineStr">
        <is>
          <t>50+ = long sprint | 20-50 = focused | 10-20 = fast | &lt;10 = very fast</t>
        </is>
      </c>
      <c r="E15" s="63" t="inlineStr">
        <is>
          <t>Directory/examples do not establish acquisition-ready pool.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tabColor theme="0"/>
    <ns0:outlinePr summaryBelow="1" summaryRight="1"/>
    <ns0:pageSetUpPr/>
  </ns0:sheetPr>
  <ns0:dimension ref="A2:J44"/>
  <ns0:sheetViews>
    <ns0:sheetView showGridLines="0" tabSelected="1" topLeftCell="A44" zoomScale="170" zoomScaleNormal="170" workbookViewId="0">
      <ns0:selection activeCell="B27" sqref="B27"/>
    </ns0:sheetView>
  </ns0:sheetViews>
  <ns0:sheetFormatPr baseColWidth="10" defaultColWidth="8.83203125" defaultRowHeight="14"/>
  <ns0:cols>
    <ns0:col width="1.33203125" customWidth="1" style="2" min="1" max="1"/>
    <ns0:col width="47.33203125" customWidth="1" style="2" min="2" max="2"/>
    <ns0:col outlineLevel="1" width="11.83203125" customWidth="1" style="2" min="3" max="4"/>
    <ns0:col outlineLevel="1" width="8.33203125" customWidth="1" style="2" min="5" max="5"/>
    <ns0:col width="3.1640625" bestFit="1" customWidth="1" style="2" min="6" max="6"/>
    <ns0:col outlineLevel="1" width="25.6640625" customWidth="1" style="2" min="7" max="7"/>
    <ns0:col outlineLevel="1" width="32" customWidth="1" style="2" min="8" max="8"/>
    <ns0:col outlineLevel="1" width="23" customWidth="1" style="2" min="9" max="9"/>
    <ns0:col width="90" customWidth="1" style="2" min="10" max="10"/>
    <ns0:col width="8.83203125" customWidth="1" style="2" min="11" max="11"/>
    <ns0:col width="8.83203125" customWidth="1" style="2" min="12" max="16384"/>
  </ns0:cols>
  <ns0:sheetData>
    <ns0:row r="1" customFormat="1" s="28"/>
    <ns0:row r="2" customFormat="1" s="28">
      <ns0:c r="B2" s="29" t="n"/>
      <ns0:c r="C2" s="30" t="n"/>
      <ns0:c r="D2" s="31" t="n"/>
      <ns0:c r="E2" s="31" t="n"/>
      <ns0:c r="F2" s="31" t="n"/>
      <ns0:c r="G2" s="32" t="n"/>
      <ns0:c r="H2" s="32" t="n"/>
      <ns0:c r="I2" s="30" t="n"/>
    </ns0:row>
    <ns0:row r="3" ht="45" customFormat="1" customHeight="1" s="28">
      <ns0:c r="B3" s="33" t="inlineStr">
        <ns0:is>
          <ns0:t>Robotic-Milking Equipment Preventive Maintenance and Consumable Route Services for Dairy Farms</ns0:t>
        </ns0:is>
      </ns0:c>
      <ns0:c r="C3" s="30" t="n"/>
      <ns0:c r="D3" s="34" t="n"/>
      <ns0:c r="E3" s="34" t="n"/>
      <ns0:c r="F3" s="34" t="n"/>
      <ns0:c r="G3" s="32" t="n"/>
      <ns0:c r="H3" s="32" t="n"/>
      <ns0:c r="I3" s="30" t="n"/>
    </ns0:row>
    <ns0:row r="4" ht="6" customHeight="1">
      <ns0:c r="D4" s="1" t="n"/>
      <ns0:c r="E4" s="1" t="n"/>
      <ns0:c r="F4" s="1" t="n"/>
      <ns0:c r="G4" s="1" t="n"/>
      <ns0:c r="H4" s="1" t="n"/>
    </ns0:row>
    <ns0:row r="5" ht="14.5" customHeight="1">
      <ns0:c r="B5" s="35" t="inlineStr">
        <ns0:is>
          <ns0:t>G&amp;B INDUSTRY SCORECARD</ns0:t>
        </ns0:is>
      </ns0:c>
      <ns0:c r="C5" s="36" t="inlineStr">
        <ns0:is>
          <ns0:t>Score</ns0:t>
        </ns0:is>
      </ns0:c>
      <ns0:c r="D5" s="37" t="inlineStr">
        <ns0:is>
          <ns0:t>Weight</ns0:t>
        </ns0:is>
      </ns0:c>
      <ns0:c r="E5" s="38" t="inlineStr">
        <ns0:is>
          <ns0:t>Evaluation</ns0:t>
        </ns0:is>
      </ns0:c>
      <ns0:c r="F5" s="39" t="n"/>
      <ns0:c r="G5" s="58" t="inlineStr">
        <ns0:is>
          <ns0:t>Criteria for Evaluation</ns0:t>
        </ns0:is>
      </ns0:c>
      <ns0:c r="H5" s="59" t="n"/>
      <ns0:c r="I5" s="60" t="n"/>
      <ns0:c r="J5" s="40" t="inlineStr">
        <ns0:is>
          <ns0:t>General Commentary / Supporting Data</ns0:t>
        </ns0:is>
      </ns0:c>
    </ns0:row>
    <ns0:row r="6">
      <ns0:c r="B6" s="41" t="n"/>
      <ns0:c r="C6" s="42" t="inlineStr">
        <ns0:is>
          <ns0:t>(1-3)</ns0:t>
        </ns0:is>
      </ns0:c>
      <ns0:c r="D6" s="43" t="inlineStr">
        <ns0:is>
          <ns0:t>(%)</ns0:t>
        </ns0:is>
      </ns0:c>
      <ns0:c r="E6" s="44" t="inlineStr">
        <ns0:is>
          <ns0:t>+/-</ns0:t>
        </ns0:is>
      </ns0:c>
      <ns0:c r="F6" s="45" t="n"/>
      <ns0:c r="G6" s="44" t="inlineStr">
        <ns0:is>
          <ns0:t>+</ns0:t>
        </ns0:is>
      </ns0:c>
      <ns0:c r="H6" s="44" t="inlineStr">
        <ns0:is>
          <ns0:t>+/-</ns0:t>
        </ns0:is>
      </ns0:c>
      <ns0:c r="I6" s="45" t="inlineStr">
        <ns0:is>
          <ns0:t>-</ns0:t>
        </ns0:is>
      </ns0:c>
      <ns0:c r="J6" s="46" t="n"/>
    </ns0:row>
    <ns0:row r="7" ht="6" customHeight="1">
      <ns0:c r="B7" s="4" t="n"/>
      <ns0:c r="C7" s="5" t="n"/>
      <ns0:c r="D7" s="54" t="n"/>
      <ns0:c r="E7" s="55" t="n"/>
      <ns0:c r="F7" s="7" t="n"/>
      <ns0:c r="G7" s="6" t="n"/>
      <ns0:c r="H7" s="6" t="n"/>
      <ns0:c r="I7" s="7" t="n"/>
      <ns0:c r="J7" s="22" t="n"/>
    </ns0:row>
    <ns0:row r="8" ht="26" customHeight="1">
      <ns0:c r="A8" s="63" t="n"/>
      <ns0:c r="B8" s="66" t="inlineStr">
        <ns0:is>
          <ns0:t>Growth, Penetration and Catalyst</ns0:t>
        </ns0:is>
      </ns0:c>
      <ns0:c r="C8" s="67">
        <ns0:f>AVERAGE(D9:D12)</ns0:f>
        <ns0:v>2.25</ns0:v>
      </ns0:c>
      <ns0:c r="D8" s="68" t="n">
        <ns0:v>0.25</ns0:v>
      </ns0:c>
      <ns0:c r="E8" s="69" t="n"/>
      <ns0:c r="F8" s="70" t="n"/>
      <ns0:c r="G8" s="63" t="n"/>
      <ns0:c r="H8" s="63" t="n"/>
      <ns0:c r="I8" s="70" t="n"/>
      <ns0:c r="J8" s="71" t="n"/>
    </ns0:row>
    <ns0:row r="9" ht="52" customHeight="1">
      <ns0:c r="A9" s="63" t="n"/>
      <ns0:c r="B9" s="72" t="inlineStr">
        <ns0:is>
          <ns0:t>- Growth relative to GDP (5 yr CAGR)</ns0:t>
        </ns0:is>
      </ns0:c>
      <ns0:c r="C9" s="73" t="n"/>
      <ns0:c r="D9" s="74">
        <ns0:f t="array" ref="D9">_xlfn.SWITCH(E9,"+",3,"+/-",2,"-",1)</ns0:f>
        <ns0:v>1</ns0:v>
      </ns0:c>
      <ns0:c r="E9" s="75" t="inlineStr">
        <ns0:is>
          <ns0:t>-</ns0:t>
        </ns0:is>
      </ns0:c>
      <ns0:c r="F9" s="70" t="n"/>
      <ns0:c r="G9" s="69" t="inlineStr">
        <ns0:is>
          <ns0:t>&gt;3x GDP growth</ns0:t>
        </ns0:is>
      </ns0:c>
      <ns0:c r="H9" s="69" t="inlineStr">
        <ns0:is>
          <ns0:t>1-3x GDP growth</ns0:t>
        </ns0:is>
      </ns0:c>
      <ns0:c r="I9" s="70" t="inlineStr">
        <ns0:is>
          <ns0:t>Growth with GDP or below</ns0:t>
        </ns0:is>
      </ns0:c>
      <ns0:c r="J9" s="71" t="inlineStr">
        <ns0:is>
          <ns0:t>Unknown current service-market CAGR;2016-21 robot adoption is not service growth. D1</ns0:t>
        </ns0:is>
      </ns0:c>
    </ns0:row>
    <ns0:row r="10" ht="52" customHeight="1">
      <ns0:c r="A10" s="63" t="n"/>
      <ns0:c r="B10" s="72" t="inlineStr">
        <ns0:is>
          <ns0:t>- Industry penetration</ns0:t>
        </ns0:is>
      </ns0:c>
      <ns0:c r="C10" s="73" t="n"/>
      <ns0:c r="D10" s="74">
        <ns0:f t="array" ref="D10">_xlfn.SWITCH(E10,"+",3,"+/-",2,"-",1)</ns0:f>
        <ns0:v>3</ns0:v>
      </ns0:c>
      <ns0:c r="E10" s="75" t="inlineStr">
        <ns0:is>
          <ns0:t>+</ns0:t>
        </ns0:is>
      </ns0:c>
      <ns0:c r="F10" s="70" t="n"/>
      <ns0:c r="G10" s="69" t="inlineStr">
        <ns0:is>
          <ns0:t>Strong catalyst</ns0:t>
        </ns0:is>
      </ns0:c>
      <ns0:c r="H10" s="69" t="inlineStr">
        <ns0:is>
          <ns0:t>Potential catalyst</ns0:t>
        </ns0:is>
      </ns0:c>
      <ns0:c r="I10" s="70" t="inlineStr">
        <ns0:is>
          <ns0:t>No clear catalyst</ns0:t>
        </ns0:is>
      </ns0:c>
      <ns0:c r="J10" s="71" t="inlineStr">
        <ns0:is>
          <ns0:t>Judgment: independently measured historic automation uptake expands installed technical support needs. D1/D2</ns0:t>
        </ns0:is>
      </ns0:c>
    </ns0:row>
    <ns0:row r="11" ht="52" customHeight="1">
      <ns0:c r="A11" s="63" t="n"/>
      <ns0:c r="B11" s="72" t="inlineStr">
        <ns0:is>
          <ns0:t>- future growth expectations</ns0:t>
        </ns0:is>
      </ns0:c>
      <ns0:c r="C11" s="73" t="n"/>
      <ns0:c r="D11" s="74">
        <ns0:f t="array" ref="D11">_xlfn.SWITCH(E11,"+",3,"+/-",2,"-",1)</ns0:f>
        <ns0:v>2</ns0:v>
      </ns0:c>
      <ns0:c r="E11" s="75" t="inlineStr">
        <ns0:is>
          <ns0:t>+/-</ns0:t>
        </ns0:is>
      </ns0:c>
      <ns0:c r="F11" s="70" t="n"/>
      <ns0:c r="G11" s="69" t="inlineStr">
        <ns0:is>
          <ns0:t>Mostly Tailwinds</ns0:t>
        </ns0:is>
      </ns0:c>
      <ns0:c r="H11" s="69" t="inlineStr">
        <ns0:is>
          <ns0:t>Mix of Tailwinds/Headwinds</ns0:t>
        </ns0:is>
      </ns0:c>
      <ns0:c r="I11" s="70" t="inlineStr">
        <ns0:is>
          <ns0:t>Mostly Headwinds</ns0:t>
        </ns0:is>
      </ns0:c>
      <ns0:c r="J11" s="71" t="inlineStr">
        <ns0:is>
          <ns0:t>Judgment: automation supportive, but farm consolidation/financial conditions may offset dealer expansion. D1/D10</ns0:t>
        </ns0:is>
      </ns0:c>
    </ns0:row>
    <ns0:row r="12" ht="52" customHeight="1">
      <ns0:c r="A12" s="63" t="n"/>
      <ns0:c r="B12" s="76" t="inlineStr">
        <ns0:is>
          <ns0:t>- Evidence to support a catalyst</ns0:t>
        </ns0:is>
      </ns0:c>
      <ns0:c r="C12" s="77" t="n"/>
      <ns0:c r="D12" s="78">
        <ns0:f t="array" ref="D12">_xlfn.SWITCH(E12,"+",3,"+/-",2,"-",1)</ns0:f>
        <ns0:v>3</ns0:v>
      </ns0:c>
      <ns0:c r="E12" s="75" t="inlineStr">
        <ns0:is>
          <ns0:t>+</ns0:t>
        </ns0:is>
      </ns0:c>
      <ns0:c r="F12" s="79" t="n"/>
      <ns0:c r="G12" s="80" t="inlineStr">
        <ns0:is>
          <ns0:t>Strong catalyst</ns0:t>
        </ns0:is>
      </ns0:c>
      <ns0:c r="H12" s="80" t="inlineStr">
        <ns0:is>
          <ns0:t>Potential catalyst</ns0:t>
        </ns0:is>
      </ns0:c>
      <ns0:c r="I12" s="79" t="inlineStr">
        <ns0:is>
          <ns0:t>No clear catalyst</ns0:t>
        </ns0:is>
      </ns0:c>
      <ns0:c r="J12" s="81" t="inlineStr">
        <ns0:is>
          <ns0:t>USDA primary evidence of adoption plus observed maintenance providers establish installed-base catalyst; old-data limitation explicit. D1/D3/D5</ns0:t>
        </ns0:is>
      </ns0:c>
    </ns0:row>
    <ns0:row r="13" ht="26" customHeight="1">
      <ns0:c r="A13" s="63" t="n"/>
      <ns0:c r="B13" s="66" t="inlineStr">
        <ns0:is>
          <ns0:t>Size and Fragmentation</ns0:t>
        </ns0:is>
      </ns0:c>
      <ns0:c r="C13" s="67">
        <ns0:f>AVERAGE(D14:D15)</ns0:f>
        <ns0:v>1.0</ns0:v>
      </ns0:c>
      <ns0:c r="D13" s="68" t="n">
        <ns0:v>0.1</ns0:v>
      </ns0:c>
      <ns0:c r="E13" s="69" t="n"/>
      <ns0:c r="F13" s="70" t="n"/>
      <ns0:c r="G13" s="63" t="n"/>
      <ns0:c r="H13" s="63" t="n"/>
      <ns0:c r="I13" s="70" t="n"/>
      <ns0:c r="J13" s="71" t="n"/>
    </ns0:row>
    <ns0:row r="14" ht="52" customHeight="1">
      <ns0:c r="A14" s="63" t="n"/>
      <ns0:c r="B14" s="72" t="inlineStr">
        <ns0:is>
          <ns0:t>- Number of players</ns0:t>
        </ns0:is>
      </ns0:c>
      <ns0:c r="C14" s="73" t="n"/>
      <ns0:c r="D14" s="74">
        <ns0:f t="array" ref="D14">_xlfn.SWITCH(E14,"+",3,"+/-",2,"-",1)</ns0:f>
        <ns0:v>1</ns0:v>
      </ns0:c>
      <ns0:c r="E14" s="75" t="inlineStr">
        <ns0:is>
          <ns0:t>-</ns0:t>
        </ns0:is>
      </ns0:c>
      <ns0:c r="F14" s="70" t="n"/>
      <ns0:c r="G14" s="69" t="inlineStr">
        <ns0:is>
          <ns0:t>Thousands of players</ns0:t>
        </ns0:is>
      </ns0:c>
      <ns0:c r="H14" s="69" t="inlineStr">
        <ns0:is>
          <ns0:t>Hundreds of players</ns0:t>
        </ns0:is>
      </ns0:c>
      <ns0:c r="I14" s="69" t="inlineStr">
        <ns0:is>
          <ns0:t>Dozens of players</ns0:t>
        </ns0:is>
      </ns0:c>
      <ns0:c r="J14" s="71" t="inlineStr">
        <ns0:is>
          <ns0:t>Unknown independent national vendor count;39 OEM directory locations are not39 firms. D2</ns0:t>
        </ns0:is>
      </ns0:c>
    </ns0:row>
    <ns0:row r="15" ht="52" customHeight="1">
      <ns0:c r="A15" s="63" t="n"/>
      <ns0:c r="B15" s="76" t="inlineStr">
        <ns0:is>
          <ns0:t>- Market share concentration</ns0:t>
        </ns0:is>
      </ns0:c>
      <ns0:c r="C15" s="77" t="n"/>
      <ns0:c r="D15" s="78">
        <ns0:f t="array" ref="D15">_xlfn.SWITCH(E15,"+",3,"+/-",2,"-",1)</ns0:f>
        <ns0:v>1</ns0:v>
      </ns0:c>
      <ns0:c r="E15" s="75" t="inlineStr">
        <ns0:is>
          <ns0:t>-</ns0:t>
        </ns0:is>
      </ns0:c>
      <ns0:c r="F15" s="79" t="n"/>
      <ns0:c r="G15" s="80" t="inlineStr">
        <ns0:is>
          <ns0:t>Largest have &lt;10% mkt sh.</ns0:t>
        </ns0:is>
      </ns0:c>
      <ns0:c r="H15" s="80" t="inlineStr">
        <ns0:is>
          <ns0:t>Largest have &lt;25% mkt sh.</ns0:t>
        </ns0:is>
      </ns0:c>
      <ns0:c r="I15" s="79" t="inlineStr">
        <ns0:is>
          <ns0:t>Largest have &gt;50% mkt sh.</ns0:t>
        </ns0:is>
      </ns0:c>
      <ns0:c r="J15" s="81" t="inlineStr">
        <ns0:is>
          <ns0:t>Unknown service-provider market shares. OEM dealer territories not measured concentration. D2</ns0:t>
        </ns0:is>
      </ns0:c>
    </ns0:row>
    <ns0:row r="16" ht="26" customHeight="1">
      <ns0:c r="A16" s="63" t="n"/>
      <ns0:c r="B16" s="66" t="inlineStr">
        <ns0:is>
          <ns0:t>Industry Economics</ns0:t>
        </ns0:is>
      </ns0:c>
      <ns0:c r="C16" s="67">
        <ns0:f>AVERAGE(D17:D19)</ns0:f>
        <ns0:v>1.0</ns0:v>
      </ns0:c>
      <ns0:c r="D16" s="68" t="n">
        <ns0:v>0.1</ns0:v>
      </ns0:c>
      <ns0:c r="E16" s="69" t="n"/>
      <ns0:c r="F16" s="70" t="n"/>
      <ns0:c r="G16" s="63" t="n"/>
      <ns0:c r="H16" s="63" t="n"/>
      <ns0:c r="I16" s="70" t="n"/>
      <ns0:c r="J16" s="71" t="n"/>
    </ns0:row>
    <ns0:row r="17" ht="52" customHeight="1">
      <ns0:c r="A17" s="63" t="n"/>
      <ns0:c r="B17" s="72" t="inlineStr">
        <ns0:is>
          <ns0:t>- Average industry gross margins</ns0:t>
        </ns0:is>
      </ns0:c>
      <ns0:c r="C17" s="73" t="n"/>
      <ns0:c r="D17" s="74">
        <ns0:f t="array" ref="D17">_xlfn.SWITCH(E17,"+",3,"+/-",2,"-",1)</ns0:f>
        <ns0:v>1</ns0:v>
      </ns0:c>
      <ns0:c r="E17" s="75" t="inlineStr">
        <ns0:is>
          <ns0:t>-</ns0:t>
        </ns0:is>
      </ns0:c>
      <ns0:c r="F17" s="70" t="n"/>
      <ns0:c r="G17" s="69" t="inlineStr">
        <ns0:is>
          <ns0:t>60-90% gross margins</ns0:t>
        </ns0:is>
      </ns0:c>
      <ns0:c r="H17" s="69" t="inlineStr">
        <ns0:is>
          <ns0:t>40-60% gross margins</ns0:t>
        </ns0:is>
      </ns0:c>
      <ns0:c r="I17" s="70" t="inlineStr">
        <ns0:is>
          <ns0:t>10-40% gross margins</ns0:t>
        </ns0:is>
      </ns0:c>
      <ns0:c r="J17" s="71" t="inlineStr">
        <ns0:is>
          <ns0:t>Unknown typical standalone service gross margins; product/dealer mix differs. D11</ns0:t>
        </ns0:is>
      </ns0:c>
    </ns0:row>
    <ns0:row r="18" ht="52" customHeight="1">
      <ns0:c r="A18" s="63" t="n"/>
      <ns0:c r="B18" s="72" t="inlineStr">
        <ns0:is>
          <ns0:t>- Average industry EBITDA margins</ns0:t>
        </ns0:is>
      </ns0:c>
      <ns0:c r="C18" s="73" t="n"/>
      <ns0:c r="D18" s="74">
        <ns0:f t="array" ref="D18">_xlfn.SWITCH(E18,"+",3,"+/-",2,"-",1)</ns0:f>
        <ns0:v>1</ns0:v>
      </ns0:c>
      <ns0:c r="E18" s="75" t="inlineStr">
        <ns0:is>
          <ns0:t>-</ns0:t>
        </ns0:is>
      </ns0:c>
      <ns0:c r="F18" s="70" t="n"/>
      <ns0:c r="G18" s="69" t="inlineStr">
        <ns0:is>
          <ns0:t>30-60% EBITDA margins</ns0:t>
        </ns0:is>
      </ns0:c>
      <ns0:c r="H18" s="69" t="inlineStr">
        <ns0:is>
          <ns0:t>10-30% EBITDA margins</ns0:t>
        </ns0:is>
      </ns0:c>
      <ns0:c r="I18" s="70" t="inlineStr">
        <ns0:is>
          <ns0:t>&lt;10% EBITDA margins</ns0:t>
        </ns0:is>
      </ns0:c>
      <ns0:c r="J18" s="71" t="inlineStr">
        <ns0:is>
          <ns0:t>Unknown typical service EBITDA; one anonymous17.7% dealer listing is not industry proof. D11</ns0:t>
        </ns0:is>
      </ns0:c>
    </ns0:row>
    <ns0:row r="19" ht="52" customHeight="1">
      <ns0:c r="A19" s="63" t="n"/>
      <ns0:c r="B19" s="76" t="inlineStr">
        <ns0:is>
          <ns0:t>- Average industry ROTC</ns0:t>
        </ns0:is>
      </ns0:c>
      <ns0:c r="C19" s="77" t="n"/>
      <ns0:c r="D19" s="78">
        <ns0:f t="array" ref="D19">_xlfn.SWITCH(E19,"+",3,"+/-",2,"-",1)</ns0:f>
        <ns0:v>1</ns0:v>
      </ns0:c>
      <ns0:c r="E19" s="75" t="inlineStr">
        <ns0:is>
          <ns0:t>-</ns0:t>
        </ns0:is>
      </ns0:c>
      <ns0:c r="F19" s="79" t="n"/>
      <ns0:c r="G19" s="80" t="inlineStr">
        <ns0:is>
          <ns0:t>&gt;20% ROTC</ns0:t>
        </ns0:is>
      </ns0:c>
      <ns0:c r="H19" s="80" t="inlineStr">
        <ns0:is>
          <ns0:t>10-20% ROTC</ns0:t>
        </ns0:is>
      </ns0:c>
      <ns0:c r="I19" s="79" t="inlineStr">
        <ns0:is>
          <ns0:t>&lt;10% ROTC</ns0:t>
        </ns0:is>
      </ns0:c>
      <ns0:c r="J19" s="81" t="inlineStr">
        <ns0:is>
          <ns0:t>Unknown industry ROTC; spares/vehicles/working capital vary. D3/D5</ns0:t>
        </ns0:is>
      </ns0:c>
    </ns0:row>
    <ns0:row r="20" ht="26" customHeight="1">
      <ns0:c r="A20" s="63" t="n"/>
      <ns0:c r="B20" s="66" t="inlineStr">
        <ns0:is>
          <ns0:t>Mission Criticality</ns0:t>
        </ns0:is>
      </ns0:c>
      <ns0:c r="C20" s="67">
        <ns0:f>AVERAGE(D21:D23)</ns0:f>
        <ns0:v>2.0</ns0:v>
      </ns0:c>
      <ns0:c r="D20" s="68" t="n">
        <ns0:v>0.15</ns0:v>
      </ns0:c>
      <ns0:c r="E20" s="69" t="n"/>
      <ns0:c r="F20" s="70" t="n"/>
      <ns0:c r="G20" s="63" t="n"/>
      <ns0:c r="H20" s="63" t="n"/>
      <ns0:c r="I20" s="70" t="n"/>
      <ns0:c r="J20" s="71" t="n"/>
    </ns0:row>
    <ns0:row r="21" ht="52" customHeight="1">
      <ns0:c r="A21" s="63" t="n"/>
      <ns0:c r="B21" s="72" t="inlineStr">
        <ns0:is>
          <ns0:t>- Average customer feedback</ns0:t>
        </ns0:is>
      </ns0:c>
      <ns0:c r="C21" s="73" t="n"/>
      <ns0:c r="D21" s="74">
        <ns0:f t="array" ref="D21">_xlfn.SWITCH(E21,"+",3,"+/-",2,"-",1)</ns0:f>
        <ns0:v>1</ns0:v>
      </ns0:c>
      <ns0:c r="E21" s="75" t="inlineStr">
        <ns0:is>
          <ns0:t>-</ns0:t>
        </ns0:is>
      </ns0:c>
      <ns0:c r="F21" s="70" t="n"/>
      <ns0:c r="G21" s="69" t="inlineStr">
        <ns0:is>
          <ns0:t>Positive customer feedback</ns0:t>
        </ns0:is>
      </ns0:c>
      <ns0:c r="H21" s="69" t="inlineStr">
        <ns0:is>
          <ns0:t>Neutral feedback</ns0:t>
        </ns0:is>
      </ns0:c>
      <ns0:c r="I21" s="70" t="inlineStr">
        <ns0:is>
          <ns0:t>Negative feedback</ns0:t>
        </ns0:is>
      </ns0:c>
      <ns0:c r="J21" s="71" t="inlineStr">
        <ns0:is>
          <ns0:t>No independent representative customer-feedback dataset; vendor descriptions are not satisfaction measurements. D3/D5</ns0:t>
        </ns0:is>
      </ns0:c>
    </ns0:row>
    <ns0:row r="22" ht="52" customHeight="1">
      <ns0:c r="A22" s="63" t="n"/>
      <ns0:c r="B22" s="72" t="inlineStr">
        <ns0:is>
          <ns0:t>- Clarity of value proposition</ns0:t>
        </ns0:is>
      </ns0:c>
      <ns0:c r="C22" s="73" t="n"/>
      <ns0:c r="D22" s="74">
        <ns0:f t="array" ref="D22">_xlfn.SWITCH(E22,"+",3,"+/-",2,"-",1)</ns0:f>
        <ns0:v>3</ns0:v>
      </ns0:c>
      <ns0:c r="E22" s="75" t="inlineStr">
        <ns0:is>
          <ns0:t>+</ns0:t>
        </ns0:is>
      </ns0:c>
      <ns0:c r="F22" s="70" t="n"/>
      <ns0:c r="G22" s="69" t="inlineStr">
        <ns0:is>
          <ns0:t>Clear value proposition</ns0:t>
        </ns0:is>
      </ns0:c>
      <ns0:c r="H22" s="69" t="inlineStr">
        <ns0:is>
          <ns0:t>Weaker value proposition</ns0:t>
        </ns0:is>
      </ns0:c>
      <ns0:c r="I22" s="70" t="inlineStr">
        <ns0:is>
          <ns0:t>Unclear value proposition</ns0:t>
        </ns0:is>
      </ns0:c>
      <ns0:c r="J22" s="71" t="inlineStr">
        <ns0:is>
          <ns0:t>Judgment: robot uptime and hygiene support continuing milking operations. D5/D9</ns0:t>
        </ns0:is>
      </ns0:c>
    </ns0:row>
    <ns0:row r="23" ht="52" customHeight="1">
      <ns0:c r="A23" s="63" t="n"/>
      <ns0:c r="B23" s="76" t="inlineStr">
        <ns0:is>
          <ns0:t>- Customer switching costs</ns0:t>
        </ns0:is>
      </ns0:c>
      <ns0:c r="C23" s="77" t="n"/>
      <ns0:c r="D23" s="78">
        <ns0:f t="array" ref="D23">_xlfn.SWITCH(E23,"+",3,"+/-",2,"-",1)</ns0:f>
        <ns0:v>2</ns0:v>
      </ns0:c>
      <ns0:c r="E23" s="75" t="inlineStr">
        <ns0:is>
          <ns0:t>+/-</ns0:t>
        </ns0:is>
      </ns0:c>
      <ns0:c r="F23" s="79" t="n"/>
      <ns0:c r="G23" s="80" t="inlineStr">
        <ns0:is>
          <ns0:t>High customers switch costs</ns0:t>
        </ns0:is>
      </ns0:c>
      <ns0:c r="H23" s="80" t="inlineStr">
        <ns0:is>
          <ns0:t>Can be replaced w/effort</ns0:t>
        </ns0:is>
      </ns0:c>
      <ns0:c r="I23" s="79" t="inlineStr">
        <ns0:is>
          <ns0:t>Easy to replace</ns0:t>
        </ns0:is>
      </ns0:c>
      <ns0:c r="J23" s="81" t="inlineStr">
        <ns0:is>
          <ns0:t>Judgment: local trained technicians and installed OEM systems create switching effort; provider contracts unknown. D2/D5/D7</ns0:t>
        </ns0:is>
      </ns0:c>
    </ns0:row>
    <ns0:row r="24" ht="26" customHeight="1">
      <ns0:c r="A24" s="63" t="n"/>
      <ns0:c r="B24" s="66" t="inlineStr">
        <ns0:is>
          <ns0:t>Exogeneous Risks</ns0:t>
        </ns0:is>
      </ns0:c>
      <ns0:c r="C24" s="67">
        <ns0:f>AVERAGE(D25:D29)</ns0:f>
        <ns0:v>1.8</ns0:v>
      </ns0:c>
      <ns0:c r="D24" s="68" t="n">
        <ns0:v>0.1</ns0:v>
      </ns0:c>
      <ns0:c r="E24" s="69" t="n"/>
      <ns0:c r="F24" s="70" t="n"/>
      <ns0:c r="G24" s="63" t="n"/>
      <ns0:c r="H24" s="63" t="n"/>
      <ns0:c r="I24" s="70" t="n"/>
      <ns0:c r="J24" s="71" t="n"/>
    </ns0:row>
    <ns0:row r="25" ht="52" customHeight="1">
      <ns0:c r="A25" s="63" t="n"/>
      <ns0:c r="B25" s="72" t="inlineStr">
        <ns0:is>
          <ns0:t>- Visibility on tech adoption and obsolescence</ns0:t>
        </ns0:is>
      </ns0:c>
      <ns0:c r="C25" s="73" t="n"/>
      <ns0:c r="D25" s="74">
        <ns0:f t="array" ref="D25">_xlfn.SWITCH(E25,"+",3,"+/-",2,"-",1)</ns0:f>
        <ns0:v>2</ns0:v>
      </ns0:c>
      <ns0:c r="E25" s="75" t="inlineStr">
        <ns0:is>
          <ns0:t>+/-</ns0:t>
        </ns0:is>
      </ns0:c>
      <ns0:c r="F25" s="70" t="n"/>
      <ns0:c r="G25" s="69" t="inlineStr">
        <ns0:is>
          <ns0:t>High visibility</ns0:t>
        </ns0:is>
      </ns0:c>
      <ns0:c r="H25" s="69" t="inlineStr">
        <ns0:is>
          <ns0:t>Some visibility</ns0:t>
        </ns0:is>
      </ns0:c>
      <ns0:c r="I25" s="70" t="inlineStr">
        <ns0:is>
          <ns0:t>No visibility</ns0:t>
        </ns0:is>
      </ns0:c>
      <ns0:c r="J25" s="71" t="inlineStr">
        <ns0:is>
          <ns0:t>Judgment: robot complexity/software evolves; hands-on repair persists. D2/D5</ns0:t>
        </ns0:is>
      </ns0:c>
    </ns0:row>
    <ns0:row r="26" ht="52" customHeight="1">
      <ns0:c r="A26" s="63" t="n"/>
      <ns0:c r="B26" s="72" t="inlineStr">
        <ns0:is>
          <ns0:t>- Regulatory risk and frequency of changes</ns0:t>
        </ns0:is>
      </ns0:c>
      <ns0:c r="C26" s="73" t="n"/>
      <ns0:c r="D26" s="74">
        <ns0:f t="array" ref="D26">_xlfn.SWITCH(E26,"+",3,"+/-",2,"-",1)</ns0:f>
        <ns0:v>2</ns0:v>
      </ns0:c>
      <ns0:c r="E26" s="75" t="inlineStr">
        <ns0:is>
          <ns0:t>+/-</ns0:t>
        </ns0:is>
      </ns0:c>
      <ns0:c r="F26" s="70" t="n"/>
      <ns0:c r="G26" s="69" t="inlineStr">
        <ns0:is>
          <ns0:t>Low risk and frequency</ns0:t>
        </ns0:is>
      </ns0:c>
      <ns0:c r="H26" s="69" t="inlineStr">
        <ns0:is>
          <ns0:t>Some risk and frequency</ns0:t>
        </ns0:is>
      </ns0:c>
      <ns0:c r="I26" s="70" t="inlineStr">
        <ns0:is>
          <ns0:t>High risk and frequency</ns0:t>
        </ns0:is>
      </ns0:c>
      <ns0:c r="J26" s="71" t="inlineStr">
        <ns0:is>
          <ns0:t>Judgment: hygiene and machine-service protocols create ongoing obligations; no specific new legal claim. D5/D9</ns0:t>
        </ns0:is>
      </ns0:c>
    </ns0:row>
    <ns0:row r="27" ht="52" customHeight="1">
      <ns0:c r="A27" s="63" t="n"/>
      <ns0:c r="B27" s="72" t="inlineStr">
        <ns0:is>
          <ns0:t>- Liability risks</ns0:t>
        </ns0:is>
      </ns0:c>
      <ns0:c r="C27" s="73" t="n"/>
      <ns0:c r="D27" s="74">
        <ns0:f t="array" ref="D27">_xlfn.SWITCH(E27,"+",3,"+/-",2,"-",1)</ns0:f>
        <ns0:v>1</ns0:v>
      </ns0:c>
      <ns0:c r="E27" s="75" t="inlineStr">
        <ns0:is>
          <ns0:t>-</ns0:t>
        </ns0:is>
      </ns0:c>
      <ns0:c r="F27" s="70" t="n"/>
      <ns0:c r="G27" s="69" t="inlineStr">
        <ns0:is>
          <ns0:t>Low liability risks</ns0:t>
        </ns0:is>
      </ns0:c>
      <ns0:c r="H27" s="69" t="inlineStr">
        <ns0:is>
          <ns0:t>Some liability risks</ns0:t>
        </ns0:is>
      </ns0:c>
      <ns0:c r="I27" s="70" t="inlineStr">
        <ns0:is>
          <ns0:t>High liability risks</ns0:t>
        </ns0:is>
      </ns0:c>
      <ns0:c r="J27" s="71" t="inlineStr">
        <ns0:is>
          <ns0:t>Judgment: service failures threaten herd/milk quality and uptime; significant liability and emergency coverage. D5/D9</ns0:t>
        </ns0:is>
      </ns0:c>
    </ns0:row>
    <ns0:row r="28" ht="52" customHeight="1">
      <ns0:c r="A28" s="63" t="n"/>
      <ns0:c r="B28" s="72" t="inlineStr">
        <ns0:is>
          <ns0:t>- Cyclicality</ns0:t>
        </ns0:is>
      </ns0:c>
      <ns0:c r="C28" s="73" t="n"/>
      <ns0:c r="D28" s="74">
        <ns0:f t="array" ref="D28">_xlfn.SWITCH(E28,"+",3,"+/-",2,"-",1)</ns0:f>
        <ns0:v>2</ns0:v>
      </ns0:c>
      <ns0:c r="E28" s="75" t="inlineStr">
        <ns0:is>
          <ns0:t>+/-</ns0:t>
        </ns0:is>
      </ns0:c>
      <ns0:c r="F28" s="70" t="n"/>
      <ns0:c r="G28" s="69" t="inlineStr">
        <ns0:is>
          <ns0:t>Low cyclicality</ns0:t>
        </ns0:is>
      </ns0:c>
      <ns0:c r="H28" s="69" t="inlineStr">
        <ns0:is>
          <ns0:t>Some cyclicality</ns0:t>
        </ns0:is>
      </ns0:c>
      <ns0:c r="I28" s="70" t="inlineStr">
        <ns0:is>
          <ns0:t>High cyclicality</ns0:t>
        </ns0:is>
      </ns0:c>
      <ns0:c r="J28" s="71" t="inlineStr">
        <ns0:is>
          <ns0:t>Judgment: installed servicing persists but farm financial cycles can pressure spend and losses. D1/D5</ns0:t>
        </ns0:is>
      </ns0:c>
    </ns0:row>
    <ns0:row r="29" ht="52" customHeight="1">
      <ns0:c r="A29" s="63" t="n"/>
      <ns0:c r="B29" s="76" t="inlineStr">
        <ns0:is>
          <ns0:t>- Exposure to trends</ns0:t>
        </ns0:is>
      </ns0:c>
      <ns0:c r="C29" s="77" t="n"/>
      <ns0:c r="D29" s="78">
        <ns0:f t="array" ref="D29">_xlfn.SWITCH(E29,"+",3,"+/-",2,"-",1)</ns0:f>
        <ns0:v>2</ns0:v>
      </ns0:c>
      <ns0:c r="E29" s="75" t="inlineStr">
        <ns0:is>
          <ns0:t>+/-</ns0:t>
        </ns0:is>
      </ns0:c>
      <ns0:c r="F29" s="79" t="n"/>
      <ns0:c r="G29" s="80" t="inlineStr">
        <ns0:is>
          <ns0:t>High resiliency to trends</ns0:t>
        </ns0:is>
      </ns0:c>
      <ns0:c r="H29" s="80" t="inlineStr">
        <ns0:is>
          <ns0:t>Some resiliency to trends</ns0:t>
        </ns0:is>
      </ns0:c>
      <ns0:c r="I29" s="79" t="inlineStr">
        <ns0:is>
          <ns0:t>Changing trends</ns0:t>
        </ns0:is>
      </ns0:c>
      <ns0:c r="J29" s="81" t="inlineStr">
        <ns0:is>
          <ns0:t>Judgment: automation trend supports demand but equipment/commodity customer exposure persists. D1/D2</ns0:t>
        </ns0:is>
      </ns0:c>
    </ns0:row>
    <ns0:row r="30" ht="26" customHeight="1">
      <ns0:c r="A30" s="63" t="n"/>
      <ns0:c r="B30" s="66" t="inlineStr">
        <ns0:is>
          <ns0:t>Porter's Five Forces</ns0:t>
        </ns0:is>
      </ns0:c>
      <ns0:c r="C30" s="67">
        <ns0:f>AVERAGE(D31:D36)</ns0:f>
        <ns0:v>1.6666666666666667</ns0:v>
      </ns0:c>
      <ns0:c r="D30" s="68" t="n">
        <ns0:v>0.15</ns0:v>
      </ns0:c>
      <ns0:c r="E30" s="69" t="n"/>
      <ns0:c r="F30" s="70" t="n"/>
      <ns0:c r="G30" s="63" t="n"/>
      <ns0:c r="H30" s="63" t="n"/>
      <ns0:c r="I30" s="70" t="n"/>
      <ns0:c r="J30" s="71" t="n"/>
    </ns0:row>
    <ns0:row r="31" ht="52" customHeight="1">
      <ns0:c r="A31" s="63" t="n"/>
      <ns0:c r="B31" s="72" t="inlineStr">
        <ns0:is>
          <ns0:t>- Prevalence of VC-backed startups</ns0:t>
        </ns0:is>
      </ns0:c>
      <ns0:c r="C31" s="73" t="n"/>
      <ns0:c r="D31" s="74">
        <ns0:f t="array" ref="D31">_xlfn.SWITCH(E31,"+",3,"+/-",2,"-",1)</ns0:f>
        <ns0:v>1</ns0:v>
      </ns0:c>
      <ns0:c r="E31" s="75" t="inlineStr">
        <ns0:is>
          <ns0:t>-</ns0:t>
        </ns0:is>
      </ns0:c>
      <ns0:c r="F31" s="70" t="n"/>
      <ns0:c r="G31" s="69" t="inlineStr">
        <ns0:is>
          <ns0:t>Low</ns0:t>
        </ns0:is>
      </ns0:c>
      <ns0:c r="H31" s="69" t="inlineStr">
        <ns0:is>
          <ns0:t>Some</ns0:t>
        </ns0:is>
      </ns0:c>
      <ns0:c r="I31" s="70" t="inlineStr">
        <ns0:is>
          <ns0:t>High</ns0:t>
        </ns0:is>
      </ns0:c>
      <ns0:c r="J31" s="71" t="inlineStr">
        <ns0:is>
          <ns0:t>Unknown VC provider prevalence; cannot infer absence from directory. D2/D10</ns0:t>
        </ns0:is>
      </ns0:c>
    </ns0:row>
    <ns0:row r="32" ht="52" customHeight="1">
      <ns0:c r="A32" s="63" t="n"/>
      <ns0:c r="B32" s="72" t="inlineStr">
        <ns0:is>
          <ns0:t>- Level of competition</ns0:t>
        </ns0:is>
      </ns0:c>
      <ns0:c r="C32" s="73" t="n"/>
      <ns0:c r="D32" s="74">
        <ns0:f t="array" ref="D32">_xlfn.SWITCH(E32,"+",3,"+/-",2,"-",1)</ns0:f>
        <ns0:v>2</ns0:v>
      </ns0:c>
      <ns0:c r="E32" s="75" t="inlineStr">
        <ns0:is>
          <ns0:t>+/-</ns0:t>
        </ns0:is>
      </ns0:c>
      <ns0:c r="F32" s="70" t="n"/>
      <ns0:c r="G32" s="69" t="inlineStr">
        <ns0:is>
          <ns0:t>Low</ns0:t>
        </ns0:is>
      </ns0:c>
      <ns0:c r="H32" s="69" t="inlineStr">
        <ns0:is>
          <ns0:t>Some</ns0:t>
        </ns0:is>
      </ns0:c>
      <ns0:c r="I32" s="70" t="inlineStr">
        <ns0:is>
          <ns0:t>High</ns0:t>
        </ns0:is>
      </ns0:c>
      <ns0:c r="J32" s="71" t="inlineStr">
        <ns0:is>
          <ns0:t>Judgment: regional service territories/local response differentiate, but OEM dealers compete; pricing data unknown. D2/D3/D5</ns0:t>
        </ns0:is>
      </ns0:c>
    </ns0:row>
    <ns0:row r="33" ht="52" customHeight="1">
      <ns0:c r="A33" s="63" t="n"/>
      <ns0:c r="B33" s="72" t="inlineStr">
        <ns0:is>
          <ns0:t>- State of new entrants</ns0:t>
        </ns0:is>
      </ns0:c>
      <ns0:c r="C33" s="73" t="n"/>
      <ns0:c r="D33" s="74">
        <ns0:f t="array" ref="D33">_xlfn.SWITCH(E33,"+",3,"+/-",2,"-",1)</ns0:f>
        <ns0:v>2</ns0:v>
      </ns0:c>
      <ns0:c r="E33" s="75" t="inlineStr">
        <ns0:is>
          <ns0:t>+/-</ns0:t>
        </ns0:is>
      </ns0:c>
      <ns0:c r="F33" s="70" t="n"/>
      <ns0:c r="G33" s="69" t="inlineStr">
        <ns0:is>
          <ns0:t>Low</ns0:t>
        </ns0:is>
      </ns0:c>
      <ns0:c r="H33" s="69" t="inlineStr">
        <ns0:is>
          <ns0:t>Some</ns0:t>
        </ns0:is>
      </ns0:c>
      <ns0:c r="I33" s="70" t="inlineStr">
        <ns0:is>
          <ns0:t>High</ns0:t>
        </ns0:is>
      </ns0:c>
      <ns0:c r="J33" s="71" t="inlineStr">
        <ns0:is>
          <ns0:t>Judgment: certification, parts and local technician footprint limit entry. D2/D7</ns0:t>
        </ns0:is>
      </ns0:c>
    </ns0:row>
    <ns0:row r="34" ht="52" customHeight="1">
      <ns0:c r="A34" s="63" t="n"/>
      <ns0:c r="B34" s="72" t="inlineStr">
        <ns0:is>
          <ns0:t>- Level of supplier power</ns0:t>
        </ns0:is>
      </ns0:c>
      <ns0:c r="C34" s="73" t="n"/>
      <ns0:c r="D34" s="74">
        <ns0:f t="array" ref="D34">_xlfn.SWITCH(E34,"+",3,"+/-",2,"-",1)</ns0:f>
        <ns0:v>1</ns0:v>
      </ns0:c>
      <ns0:c r="E34" s="75" t="inlineStr">
        <ns0:is>
          <ns0:t>-</ns0:t>
        </ns0:is>
      </ns0:c>
      <ns0:c r="F34" s="70" t="n"/>
      <ns0:c r="G34" s="69" t="inlineStr">
        <ns0:is>
          <ns0:t>Low</ns0:t>
        </ns0:is>
      </ns0:c>
      <ns0:c r="H34" s="69" t="inlineStr">
        <ns0:is>
          <ns0:t>Some</ns0:t>
        </ns0:is>
      </ns0:c>
      <ns0:c r="I34" s="70" t="inlineStr">
        <ns0:is>
          <ns0:t>High</ns0:t>
        </ns0:is>
      </ns0:c>
      <ns0:c r="J34" s="71" t="inlineStr">
        <ns0:is>
          <ns0:t>Judgment: OEM parts/software/training and dealer consent create supplier power. D2/D7</ns0:t>
        </ns0:is>
      </ns0:c>
    </ns0:row>
    <ns0:row r="35" ht="52" customHeight="1">
      <ns0:c r="A35" s="63" t="n"/>
      <ns0:c r="B35" s="72" t="inlineStr">
        <ns0:is>
          <ns0:t>- Level of customer power</ns0:t>
        </ns0:is>
      </ns0:c>
      <ns0:c r="C35" s="73" t="n"/>
      <ns0:c r="D35" s="74">
        <ns0:f t="array" ref="D35">_xlfn.SWITCH(E35,"+",3,"+/-",2,"-",1)</ns0:f>
        <ns0:v>2</ns0:v>
      </ns0:c>
      <ns0:c r="E35" s="75" t="inlineStr">
        <ns0:is>
          <ns0:t>+/-</ns0:t>
        </ns0:is>
      </ns0:c>
      <ns0:c r="F35" s="70" t="n"/>
      <ns0:c r="G35" s="69" t="inlineStr">
        <ns0:is>
          <ns0:t>Low</ns0:t>
        </ns0:is>
      </ns0:c>
      <ns0:c r="H35" s="69" t="inlineStr">
        <ns0:is>
          <ns0:t>Some</ns0:t>
        </ns0:is>
      </ns0:c>
      <ns0:c r="I35" s="70" t="inlineStr">
        <ns0:is>
          <ns0:t>High</ns0:t>
        </ns0:is>
      </ns0:c>
      <ns0:c r="J35" s="71" t="inlineStr">
        <ns0:is>
          <ns0:t>Judgment: downtime makes service critical; concentrated farm/customer dependence not measured. D5/D9</ns0:t>
        </ns0:is>
      </ns0:c>
    </ns0:row>
    <ns0:row r="36" ht="52" customHeight="1">
      <ns0:c r="A36" s="63" t="n"/>
      <ns0:c r="B36" s="76" t="inlineStr">
        <ns0:is>
          <ns0:t>- Threat of substitutes</ns0:t>
        </ns0:is>
      </ns0:c>
      <ns0:c r="C36" s="77" t="n"/>
      <ns0:c r="D36" s="78">
        <ns0:f t="array" ref="D36">_xlfn.SWITCH(E36,"+",3,"+/-",2,"-",1)</ns0:f>
        <ns0:v>2</ns0:v>
      </ns0:c>
      <ns0:c r="E36" s="75" t="inlineStr">
        <ns0:is>
          <ns0:t>+/-</ns0:t>
        </ns0:is>
      </ns0:c>
      <ns0:c r="F36" s="79" t="n"/>
      <ns0:c r="G36" s="80" t="inlineStr">
        <ns0:is>
          <ns0:t>Low</ns0:t>
        </ns0:is>
      </ns0:c>
      <ns0:c r="H36" s="80" t="inlineStr">
        <ns0:is>
          <ns0:t>Some</ns0:t>
        </ns0:is>
      </ns0:c>
      <ns0:c r="I36" s="79" t="inlineStr">
        <ns0:is>
          <ns0:t>High</ns0:t>
        </ns0:is>
      </ns0:c>
      <ns0:c r="J36" s="81" t="inlineStr">
        <ns0:is>
          <ns0:t>Judgment: trained farm staff can do daily care, but faults/parts still need specialist support. D9</ns0:t>
        </ns0:is>
      </ns0:c>
    </ns0:row>
    <ns0:row r="37" ht="26" customHeight="1">
      <ns0:c r="A37" s="63" t="n"/>
      <ns0:c r="B37" s="66" t="inlineStr">
        <ns0:is>
          <ns0:t>Value Creation Opportunities</ns0:t>
        </ns0:is>
      </ns0:c>
      <ns0:c r="C37" s="67">
        <ns0:f>AVERAGE(D38:D39)</ns0:f>
        <ns0:v>1.5</ns0:v>
      </ns0:c>
      <ns0:c r="D37" s="68" t="n">
        <ns0:v>0.1</ns0:v>
      </ns0:c>
      <ns0:c r="E37" s="69" t="n"/>
      <ns0:c r="F37" s="70" t="n"/>
      <ns0:c r="G37" s="63" t="n"/>
      <ns0:c r="H37" s="63" t="n"/>
      <ns0:c r="I37" s="70" t="n"/>
      <ns0:c r="J37" s="71" t="n"/>
    </ns0:row>
    <ns0:row r="38" ht="52" customHeight="1">
      <ns0:c r="A38" s="63" t="n"/>
      <ns0:c r="B38" s="72" t="inlineStr">
        <ns0:is>
          <ns0:t>- General complexity of businesses</ns0:t>
        </ns0:is>
      </ns0:c>
      <ns0:c r="C38" s="73" t="n"/>
      <ns0:c r="D38" s="74">
        <ns0:f t="array" ref="D38">_xlfn.SWITCH(E38,"+",3,"+/-",2,"-",1)</ns0:f>
        <ns0:v>1</ns0:v>
      </ns0:c>
      <ns0:c r="E38" s="75" t="inlineStr">
        <ns0:is>
          <ns0:t>-</ns0:t>
        </ns0:is>
      </ns0:c>
      <ns0:c r="F38" s="70" t="n"/>
      <ns0:c r="G38" s="69" t="inlineStr">
        <ns0:is>
          <ns0:t>Simple businesses</ns0:t>
        </ns0:is>
      </ns0:c>
      <ns0:c r="H38" s="69" t="inlineStr">
        <ns0:is>
          <ns0:t>Moderate complexity</ns0:t>
        </ns0:is>
      </ns0:c>
      <ns0:c r="I38" s="70" t="inlineStr">
        <ns0:is>
          <ns0:t>Complex businesses</ns0:t>
        </ns0:is>
      </ns0:c>
      <ns0:c r="J38" s="71" t="inlineStr">
        <ns0:is>
          <ns0:t>Judgment:24/7 rural dispatch, technical staff, spares and robot protocols are complex. D5/D9</ns0:t>
        </ns0:is>
      </ns0:c>
    </ns0:row>
    <ns0:row r="39" ht="52" customHeight="1">
      <ns0:c r="A39" s="63" t="n"/>
      <ns0:c r="B39" s="76" t="inlineStr">
        <ns0:is>
          <ns0:t>- Professionalization opportunities</ns0:t>
        </ns0:is>
      </ns0:c>
      <ns0:c r="C39" s="77" t="n"/>
      <ns0:c r="D39" s="78">
        <ns0:f t="array" ref="D39">_xlfn.SWITCH(E39,"+",3,"+/-",2,"-",1)</ns0:f>
        <ns0:v>2</ns0:v>
      </ns0:c>
      <ns0:c r="E39" s="75" t="inlineStr">
        <ns0:is>
          <ns0:t>+/-</ns0:t>
        </ns0:is>
      </ns0:c>
      <ns0:c r="F39" s="79" t="n"/>
      <ns0:c r="G39" s="80" t="inlineStr">
        <ns0:is>
          <ns0:t>Several actionable levers</ns0:t>
        </ns0:is>
      </ns0:c>
      <ns0:c r="H39" s="80" t="inlineStr">
        <ns0:is>
          <ns0:t>Some actionable levers</ns0:t>
        </ns0:is>
      </ns0:c>
      <ns0:c r="I39" s="79" t="inlineStr">
        <ns0:is>
          <ns0:t>Technical skills required</ns0:t>
        </ns0:is>
      </ns0:c>
      <ns0:c r="J39" s="81" t="inlineStr">
        <ns0:is>
          <ns0:t>Judgment: planned service agreements and routes offer levers but flat-fee repair risks must be priced. D5/D9</ns0:t>
        </ns0:is>
      </ns0:c>
    </ns0:row>
    <ns0:row r="40" ht="26" customHeight="1">
      <ns0:c r="A40" s="63" t="n"/>
      <ns0:c r="B40" s="66" t="inlineStr">
        <ns0:is>
          <ns0:t>Impact and Externalities</ns0:t>
        </ns0:is>
      </ns0:c>
      <ns0:c r="C40" s="67">
        <ns0:f>AVERAGE(D41:D42)</ns0:f>
        <ns0:v>2.0</ns0:v>
      </ns0:c>
      <ns0:c r="D40" s="68" t="n">
        <ns0:v>0.05</ns0:v>
      </ns0:c>
      <ns0:c r="E40" s="69" t="n"/>
      <ns0:c r="F40" s="70" t="n"/>
      <ns0:c r="G40" s="63" t="n"/>
      <ns0:c r="H40" s="63" t="n"/>
      <ns0:c r="I40" s="70" t="n"/>
      <ns0:c r="J40" s="71" t="n"/>
    </ns0:row>
    <ns0:row r="41" ht="52" customHeight="1">
      <ns0:c r="A41" s="63" t="n"/>
      <ns0:c r="B41" s="72" t="inlineStr">
        <ns0:is>
          <ns0:t>- Net impact to society</ns0:t>
        </ns0:is>
      </ns0:c>
      <ns0:c r="C41" s="73" t="n"/>
      <ns0:c r="D41" s="74">
        <ns0:f t="array" ref="D41">_xlfn.SWITCH(E41,"+",3,"+/-",2,"-",1)</ns0:f>
        <ns0:v>2</ns0:v>
      </ns0:c>
      <ns0:c r="E41" s="75" t="inlineStr">
        <ns0:is>
          <ns0:t>+/-</ns0:t>
        </ns0:is>
      </ns0:c>
      <ns0:c r="F41" s="70" t="n"/>
      <ns0:c r="G41" s="69" t="inlineStr">
        <ns0:is>
          <ns0:t>Net positive impact</ns0:t>
        </ns0:is>
      </ns0:c>
      <ns0:c r="H41" s="69" t="inlineStr">
        <ns0:is>
          <ns0:t>Neutral impact</ns0:t>
        </ns0:is>
      </ns0:c>
      <ns0:c r="I41" s="70" t="inlineStr">
        <ns0:is>
          <ns0:t>Net negative impact</ns0:t>
        </ns0:is>
      </ns0:c>
      <ns0:c r="J41" s="71" t="inlineStr">
        <ns0:is>
          <ns0:t>Judgment: labor support/uptime benefit farms; broader environmental/welfare outcomes not established. D1</ns0:t>
        </ns0:is>
      </ns0:c>
    </ns0:row>
    <ns0:row r="42" ht="52" customHeight="1">
      <ns0:c r="A42" s="63" t="n"/>
      <ns0:c r="B42" s="82" t="inlineStr">
        <ns0:is>
          <ns0:t>- Positive or negative externalities</ns0:t>
        </ns0:is>
      </ns0:c>
      <ns0:c r="C42" s="83" t="n"/>
      <ns0:c r="D42" s="74">
        <ns0:f t="array" ref="D42">_xlfn.SWITCH(E42,"+",3,"+/-",2,"-",1)</ns0:f>
        <ns0:v>2</ns0:v>
      </ns0:c>
      <ns0:c r="E42" s="75" t="inlineStr">
        <ns0:is>
          <ns0:t>+/-</ns0:t>
        </ns0:is>
      </ns0:c>
      <ns0:c r="F42" s="84" t="n"/>
      <ns0:c r="G42" s="85" t="inlineStr">
        <ns0:is>
          <ns0:t>Positive externalities</ns0:t>
        </ns0:is>
      </ns0:c>
      <ns0:c r="H42" s="85" t="inlineStr">
        <ns0:is>
          <ns0:t>Neutral externalities</ns0:t>
        </ns0:is>
      </ns0:c>
      <ns0:c r="I42" s="84" t="inlineStr">
        <ns0:is>
          <ns0:t>Negative externalities</ns0:t>
        </ns0:is>
      </ns0:c>
      <ns0:c r="J42" s="86" t="inlineStr">
        <ns0:is>
          <ns0:t>Unknown net externality; no quantified effect inferred from dairy automation. D1</ns0:t>
        </ns0:is>
      </ns0:c>
    </ns0:row>
    <ns0:row r="43">
      <ns0:c r="B43" s="14" t="inlineStr">
        <ns0:is>
          <ns0:t>Total Score</ns0:t>
        </ns0:is>
      </ns0:c>
      <ns0:c r="C43" s="49">
        <ns0:f>SUMPRODUCT(C8:C42,D8:D42)</ns0:f>
        <ns0:v>1.7425000000000002</ns0:v>
      </ns0:c>
      <ns0:c r="D43" s="18" t="inlineStr">
        <ns0:is>
          <ns0:t>Provisional; see methodology. /3 scale.</ns0:t>
        </ns0:is>
      </ns0:c>
      <ns0:c r="E43" s="18" t="n"/>
      <ns0:c r="F43" s="16" t="n"/>
      <ns0:c r="G43" s="16" t="n"/>
      <ns0:c r="H43" s="16" t="n"/>
      <ns0:c r="I43" s="16" t="n"/>
      <ns0:c r="J43" s="17" t="n"/>
    </ns0:row>
    <ns0:row r="44">
      <ns0:c r="D44" s="3" t="n"/>
    </ns0:row>
    <ns0:row r="45" ht="15" customHeight="1"/>
    <ns0:row r="52" ht="15" customHeight="1"/>
    <ns0:row r="59" ht="15" customHeight="1"/>
    <ns0:row r="66" ht="15" customHeight="1"/>
    <ns0:row r="73" ht="15" customHeight="1"/>
    <ns0:row r="80" ht="15" customHeight="1"/>
    <ns0:row r="87" ht="15" customHeight="1"/>
    <ns0:row r="94" ht="15" customHeight="1"/>
  </ns0:sheetData>
  <ns0:mergeCells count="5">
    <ns0:mergeCell ref="G5:I5"/>
    <ns0:mergeCell ref="G45:I45"/>
    <ns0:mergeCell ref="G87:I87"/>
    <ns0:mergeCell ref="G73:I73"/>
    <ns0:mergeCell ref="G59:I59"/>
  </ns0:mergeCells>
  <ns0:pageMargins left="0.7" right="0.7" top="0.75" bottom="0.75" header="0.3" footer="0.3"/>
  <ns0:pageSetup orientation="portrait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  <col width="65" customWidth="1" min="3" max="3"/>
  </cols>
  <sheetData>
    <row r="1" ht="65" customHeight="1">
      <c r="A1" s="63" t="inlineStr">
        <is>
          <t>Policy</t>
        </is>
      </c>
      <c r="B1" s="63" t="inlineStr">
        <is>
          <t>Provisional evidence-weighted research score, not an activation decision. Missing quantitative facts receive - (1) as an uncertainty penalty, not a measured adverse result. +/- (2) and + (3) express explicit source-supported judgments; operator claims are labeled. Unknown initial-screen facts remain Unknown. Template category weights and rating mapping unchanged. Target TAM and G&amp;B fit are informational, not extra weighted score inputs.</t>
        </is>
      </c>
      <c r="C1" s="63" t="n"/>
    </row>
    <row r="2" ht="65" customHeight="1">
      <c r="A2" s="63" t="inlineStr">
        <is>
          <t>Repair</t>
        </is>
      </c>
      <c r="B2" s="63" t="inlineStr">
        <is>
          <t>Output-only D34 mapped-rating formula restored; template missing supplier-power numeric rating. Original template unchanged.</t>
        </is>
      </c>
      <c r="C2" s="63" t="n"/>
    </row>
    <row r="3" ht="65" customHeight="1">
      <c r="A3" s="63" t="inlineStr">
        <is>
          <t>Scope</t>
        </is>
      </c>
      <c r="B3" s="63" t="inlineStr">
        <is>
          <t>Eight groups,27 subcriteria. Company examples rows45:99 removed. Target TAM/searcher fit informational.</t>
        </is>
      </c>
      <c r="C3" s="63" t="n"/>
    </row>
    <row r="4" ht="65" customHeight="1">
      <c r="A4" s="63" t="inlineStr">
        <is>
          <t>Formula caches</t>
        </is>
      </c>
      <c r="B4" s="63" t="inlineStr">
        <is>
          <t>Preserved original industry formulas; numeric caches injected and independently verified because local LibreOffice Calc unavailable.</t>
        </is>
      </c>
      <c r="C4" s="63" t="n"/>
    </row>
    <row r="5" ht="65" customHeight="1">
      <c r="A5" s="63" t="inlineStr">
        <is>
          <t>Scale</t>
        </is>
      </c>
      <c r="B5" s="63" t="inlineStr">
        <is>
          <t>C43 SUMPRODUCT already /3; percentage=score/3*100.</t>
        </is>
      </c>
      <c r="C5" s="63" t="n"/>
    </row>
    <row r="6" ht="65" customHeight="1">
      <c r="A6" s="63" t="inlineStr">
        <is>
          <t>Initial screen</t>
        </is>
      </c>
      <c r="B6" s="63" t="inlineStr">
        <is>
          <t>INCOMPLETE; full pipeline review with explicit flags, not pass/activation</t>
        </is>
      </c>
      <c r="C6" s="63" t="n"/>
    </row>
    <row r="7" ht="65" customHeight="1">
      <c r="A7" s="63" t="inlineStr">
        <is>
          <t>Source ID</t>
        </is>
      </c>
      <c r="B7" s="63" t="inlineStr">
        <is>
          <t>Title / evidence</t>
        </is>
      </c>
      <c r="C7" s="63" t="inlineStr">
        <is>
          <t>URL</t>
        </is>
      </c>
    </row>
    <row r="8" ht="65" customHeight="1">
      <c r="A8" s="63" t="inlineStr">
        <is>
          <t>I1</t>
        </is>
      </c>
      <c r="B8" s="63" t="inlineStr">
        <is>
          <t>Sequential synthesis and expansion — Gathering and six-output synthesis; original working evidence /tmp/niche-intel-2026-09-14/synthesis.md</t>
        </is>
      </c>
      <c r="C8" s="87" t="inlineStr">
        <is>
          <t>brain/outputs/2026-09-14-niche-intelligence-report.md</t>
        </is>
      </c>
    </row>
    <row r="9" ht="65" customHeight="1">
      <c r="A9" s="63" t="inlineStr">
        <is>
          <t>I2</t>
        </is>
      </c>
      <c r="B9" s="63" t="inlineStr">
        <is>
          <t>Live Industry Research Tracker — Fresh four-tab duplicate/lifecycle check; neither proposed niche appears; killed generic BPO remains excluded.</t>
        </is>
      </c>
      <c r="C9" s="87" t="inlineStr">
        <is>
          <t>https://docs.google.com/spreadsheets/d/1vHx4E1tRTR6V3k7NQeHdCrUjDITJVtZA5YPSIFeSins/edit</t>
        </is>
      </c>
    </row>
    <row r="10" ht="65" customHeight="1">
      <c r="A10" s="63" t="inlineStr">
        <is>
          <t>D1</t>
        </is>
      </c>
      <c r="B10" s="63" t="inlineStr">
        <is>
          <t>USDA ERS robotic-milking adoption — Published June2 2026 using2016/2021 farm data: robotic systems share of US milk4%→6%;13% adoption for150–499 cow farms in2021. Not a2026 adoption level or service-market CAGR.</t>
        </is>
      </c>
      <c r="C10" s="87" t="inlineStr">
        <is>
          <t>https://ers.usda.gov/data-products/charts-of-note/114194</t>
        </is>
      </c>
    </row>
    <row r="11" ht="65" customHeight="1">
      <c r="A11" s="63" t="inlineStr">
        <is>
          <t>D2</t>
        </is>
      </c>
      <c r="B11" s="63" t="inlineStr">
        <is>
          <t>Lely US center directory and services — 39 listed locations; repeats/branches present, not39 independent companies. Technical services and consumables offered.</t>
        </is>
      </c>
      <c r="C11" s="87" t="inlineStr">
        <is>
          <t>https://www.lelyna.com/us/</t>
        </is>
      </c>
    </row>
    <row r="12" ht="65" customHeight="1">
      <c r="A12" s="63" t="inlineStr">
        <is>
          <t>D3</t>
        </is>
      </c>
      <c r="B12" s="63" t="inlineStr">
        <is>
          <t>JBZ Dairy Advantage services — Family-owned DeLaval dealership, VMS robotics and maintenance/route service.</t>
        </is>
      </c>
      <c r="C12" s="87" t="inlineStr">
        <is>
          <t>https://www.jbzdairy.com/</t>
        </is>
      </c>
    </row>
    <row r="13" ht="65" customHeight="1">
      <c r="A13" s="63" t="inlineStr">
        <is>
          <t>D4</t>
        </is>
      </c>
      <c r="B13" s="63" t="inlineStr">
        <is>
          <t>JBZ locations — Blue Ball/New Holland and Orangeville PA, count as one firm.</t>
        </is>
      </c>
      <c r="C13" s="87" t="inlineStr">
        <is>
          <t>https://www.jbzdairy.com/contact</t>
        </is>
      </c>
    </row>
    <row r="14" ht="65" customHeight="1">
      <c r="A14" s="63" t="inlineStr">
        <is>
          <t>D5</t>
        </is>
      </c>
      <c r="B14" s="63" t="inlineStr">
        <is>
          <t>Gorter Clay and Dairy — Pipestone MN; current named owner Rusty Hartke; robotic maintenance,24/7 emergency and consumable routes.</t>
        </is>
      </c>
      <c r="C14" s="87" t="inlineStr">
        <is>
          <t>https://www.gortersclayanddairy.com/</t>
        </is>
      </c>
    </row>
    <row r="15" ht="65" customHeight="1">
      <c r="A15" s="63" t="inlineStr">
        <is>
          <t>D6</t>
        </is>
      </c>
      <c r="B15" s="63" t="inlineStr">
        <is>
          <t>Thomson Services — Family-owned dairy maintenance/installation/supplies, Dublin TX; service plans and40+ farm clients provider claim.</t>
        </is>
      </c>
      <c r="C15" s="87" t="inlineStr">
        <is>
          <t>https://www.thomsonservices.com/supplies</t>
        </is>
      </c>
    </row>
    <row r="16" ht="65" customHeight="1">
      <c r="A16" s="63" t="inlineStr">
        <is>
          <t>D7</t>
        </is>
      </c>
      <c r="B16" s="63" t="inlineStr">
        <is>
          <t>Lely Center New England — OEM names owner Paul Godin and regional technician team; milking robots/consumables services; New England location and NY service technician role.</t>
        </is>
      </c>
      <c r="C16" s="87" t="inlineStr">
        <is>
          <t>https://www.lelyna.com/us/centers/new-england/</t>
        </is>
      </c>
    </row>
    <row r="17" ht="65" customHeight="1">
      <c r="A17" s="63" t="inlineStr">
        <is>
          <t>D8</t>
        </is>
      </c>
      <c r="B17" s="63" t="inlineStr">
        <is>
          <t>Progressive Dairy Service and Supplies — Lely2021 announcement names Tobin Millican founder/owner and Wendell Idaho family-owned dealership. Ownership evidence historical,2026 status unverified.</t>
        </is>
      </c>
      <c r="C17" s="87" t="inlineStr">
        <is>
          <t>https://www.lelylife.com/progressive-dairy-service-supply</t>
        </is>
      </c>
    </row>
    <row r="18" ht="65" customHeight="1">
      <c r="A18" s="63" t="inlineStr">
        <is>
          <t>D9</t>
        </is>
      </c>
      <c r="B18" s="63" t="inlineStr">
        <is>
          <t>Mid-Atlantic robotic service-agreement pilot — Provider describes five-farm pilot and flat monthly fee per robot covering maintenance/parts/labor. Mixed crawl/date metadata; do not assert rollout completed.</t>
        </is>
      </c>
      <c r="C18" s="87" t="inlineStr">
        <is>
          <t>https://www.lelycentermidatlantic.com/index.php/2025/08/01/10-minutes-to-better-robot-performance-lely-center-mid-atlantics-daily-checklist/</t>
        </is>
      </c>
    </row>
    <row r="19" ht="65" customHeight="1">
      <c r="A19" s="63" t="inlineStr">
        <is>
          <t>D10</t>
        </is>
      </c>
      <c r="B19" s="63" t="inlineStr">
        <is>
          <t>Schneider Resources portfolio — Private investment firm lists Foxland dairy-equipment/service portfolio company; no claim of untouched sector.</t>
        </is>
      </c>
      <c r="C19" s="87" t="inlineStr">
        <is>
          <t>https://schneiderresources.com/</t>
        </is>
      </c>
    </row>
    <row r="20" ht="65" customHeight="1">
      <c r="A20" s="63" t="inlineStr">
        <is>
          <t>D11</t>
        </is>
      </c>
      <c r="B20" s="63" t="inlineStr">
        <is>
          <t>Historical source newsletter — Anonymous UT/ID dealer/service listing:2.5M revenue/442888 EBITDA seller claims; do not conflate with named providers or industry margin.</t>
        </is>
      </c>
      <c r="C20" s="87" t="inlineStr">
        <is>
          <t>https://mail.google.com/mail/u/0/#all/19e656820ec74fd6</t>
        </is>
      </c>
    </row>
    <row r="21" ht="65" customHeight="1">
      <c r="A21" s="63" t="inlineStr">
        <is>
          <t>D12</t>
        </is>
      </c>
      <c r="B21" s="63" t="inlineStr">
        <is>
          <t>Historical gathered context — Original robotic-maintenance hypothesis and source limitations.</t>
        </is>
      </c>
      <c r="C21" s="87" t="inlineStr">
        <is>
          <t>brain/traces/agents/2026-09-14-niche-intelligence.md</t>
        </is>
      </c>
    </row>
  </sheetData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G&amp;B / Codex</dc:creator>
  <dc:title xmlns:dc="http://purl.org/dc/elements/1.1/">Robotic-Milking Equipment Preventive Maintenance and Consumable Route Services for Dairy Farms — Industry Scorecard</dc:title>
  <dc:description xmlns:dc="http://purl.org/dc/elements/1.1/">Provisional evidence-weighted research score, not an activation decision. Missing quantitative facts receive - (1) as an uncertainty penalty, not a measured adverse result. +/- (2) and + (3) express explicit source-supported judgments; operator claims are labeled. Unknown initial-screen facts remain Unknown. Template category weights and rating mapping unchanged. Target TAM and G&amp;B fit are informational, not extra weighted score inputs.</dc:description>
  <dc:subject xmlns:dc="http://purl.org/dc/elements/1.1/">Provisional industry evaluation</dc:subject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2026-09-15T02:58:18Z</dcterms:modified>
  <cp:lastModifiedBy>G&amp;B / Codex</cp:lastModifiedBy>
</cp:coreProperties>
</file>