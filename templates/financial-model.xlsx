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kaycschneider/My Drive/MANAGER DOCUMENTS/G&amp;B MASTER TEMPLATES/"/>
    </mc:Choice>
  </mc:AlternateContent>
  <xr:revisionPtr revIDLastSave="0" documentId="13_ncr:1_{14AD1657-FDF7-4743-81F9-A412AF8B90F8}" xr6:coauthVersionLast="47" xr6:coauthVersionMax="47" xr10:uidLastSave="{00000000-0000-0000-0000-000000000000}"/>
  <bookViews>
    <workbookView xWindow="8900" yWindow="600" windowWidth="20500" windowHeight="15900" activeTab="2" xr2:uid="{0711EC68-ABD6-4F5A-A8AD-A2A98E99A44C}"/>
  </bookViews>
  <sheets>
    <sheet name="Model Template" sheetId="2" r:id="rId1"/>
    <sheet name="Growth" sheetId="5" r:id="rId2"/>
    <sheet name="Value" sheetId="6" r:id="rId3"/>
  </sheets>
  <calcPr calcId="191029" calcMode="autoNoTable"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6" l="1"/>
  <c r="F37" i="5"/>
  <c r="G37" i="5" s="1"/>
  <c r="H37" i="5" s="1"/>
  <c r="I37" i="5" s="1"/>
  <c r="J37" i="5" s="1"/>
  <c r="G34" i="5"/>
  <c r="H34" i="5" s="1"/>
  <c r="I34" i="5" s="1"/>
  <c r="J34" i="5" s="1"/>
  <c r="F34" i="5"/>
  <c r="F37" i="6"/>
  <c r="G37" i="6" s="1"/>
  <c r="H37" i="6" s="1"/>
  <c r="I37" i="6" s="1"/>
  <c r="J37" i="6" s="1"/>
  <c r="F34" i="6"/>
  <c r="G34" i="6" s="1"/>
  <c r="H34" i="6" s="1"/>
  <c r="I34" i="6" s="1"/>
  <c r="J34" i="6" s="1"/>
  <c r="E33" i="6"/>
  <c r="D33" i="6" s="1"/>
  <c r="C33" i="6" s="1"/>
  <c r="L34" i="6"/>
  <c r="D35" i="6"/>
  <c r="L37" i="6"/>
  <c r="D38" i="6"/>
  <c r="E38" i="6"/>
  <c r="E33" i="5"/>
  <c r="D33" i="5" s="1"/>
  <c r="C33" i="5" s="1"/>
  <c r="E35" i="5"/>
  <c r="L37" i="5"/>
  <c r="D38" i="5"/>
  <c r="E38" i="5"/>
  <c r="G34" i="2"/>
  <c r="H34" i="2" s="1"/>
  <c r="I34" i="2" s="1"/>
  <c r="J34" i="2" s="1"/>
  <c r="F34" i="2"/>
  <c r="J111" i="6"/>
  <c r="J111" i="5"/>
  <c r="J111" i="2"/>
  <c r="E35" i="6" l="1"/>
  <c r="F33" i="6"/>
  <c r="G33" i="6" s="1"/>
  <c r="H33" i="6" s="1"/>
  <c r="I33" i="6" s="1"/>
  <c r="J33" i="6" s="1"/>
  <c r="L34" i="5"/>
  <c r="F33" i="5"/>
  <c r="G33" i="5" s="1"/>
  <c r="H33" i="5" s="1"/>
  <c r="I33" i="5" s="1"/>
  <c r="J33" i="5" s="1"/>
  <c r="D35" i="5"/>
  <c r="L17" i="6"/>
  <c r="N17" i="6"/>
  <c r="N17" i="2"/>
  <c r="L17" i="2"/>
  <c r="D35" i="2"/>
  <c r="L17" i="5"/>
  <c r="N17" i="5"/>
  <c r="L20" i="2"/>
  <c r="L20" i="5"/>
  <c r="L20" i="6"/>
  <c r="G144" i="6"/>
  <c r="F144" i="6"/>
  <c r="J142" i="6"/>
  <c r="I137" i="6"/>
  <c r="N128" i="6"/>
  <c r="N127" i="6"/>
  <c r="F122" i="6"/>
  <c r="F62" i="6" s="1"/>
  <c r="J119" i="6"/>
  <c r="G119" i="6"/>
  <c r="F119" i="6"/>
  <c r="D107" i="6"/>
  <c r="D106" i="6"/>
  <c r="D105" i="6"/>
  <c r="L91" i="6"/>
  <c r="L82" i="6"/>
  <c r="F64" i="6"/>
  <c r="E50" i="6"/>
  <c r="E41" i="6"/>
  <c r="D41" i="6"/>
  <c r="L40" i="6"/>
  <c r="D21" i="6"/>
  <c r="D22" i="6" s="1"/>
  <c r="H18" i="6"/>
  <c r="C17" i="6"/>
  <c r="F85" i="6" s="1"/>
  <c r="F89" i="6" s="1"/>
  <c r="H16" i="6"/>
  <c r="D16" i="6"/>
  <c r="C16" i="6" s="1"/>
  <c r="I15" i="6"/>
  <c r="D15" i="6"/>
  <c r="L40" i="5"/>
  <c r="G144" i="5"/>
  <c r="F144" i="5"/>
  <c r="J142" i="5"/>
  <c r="I137" i="5"/>
  <c r="N128" i="5"/>
  <c r="N129" i="5" s="1"/>
  <c r="B126" i="5" s="1"/>
  <c r="N127" i="5"/>
  <c r="F122" i="5"/>
  <c r="F62" i="5" s="1"/>
  <c r="J119" i="5"/>
  <c r="G119" i="5"/>
  <c r="F119" i="5"/>
  <c r="D107" i="5"/>
  <c r="D106" i="5"/>
  <c r="D105" i="5"/>
  <c r="L91" i="5"/>
  <c r="L82" i="5"/>
  <c r="I69" i="5"/>
  <c r="I144" i="5" s="1"/>
  <c r="H69" i="5"/>
  <c r="H144" i="5" s="1"/>
  <c r="F64" i="5"/>
  <c r="E50" i="5"/>
  <c r="E41" i="5"/>
  <c r="D41" i="5"/>
  <c r="C41" i="5"/>
  <c r="F58" i="5"/>
  <c r="D21" i="5"/>
  <c r="D22" i="5" s="1"/>
  <c r="H18" i="5"/>
  <c r="C17" i="5"/>
  <c r="F85" i="5" s="1"/>
  <c r="H16" i="5"/>
  <c r="H17" i="5" s="1"/>
  <c r="D16" i="5"/>
  <c r="I15" i="5"/>
  <c r="D15" i="5"/>
  <c r="D15" i="2"/>
  <c r="I15" i="2"/>
  <c r="N128" i="2"/>
  <c r="L91" i="2"/>
  <c r="L82" i="2"/>
  <c r="E33" i="2"/>
  <c r="I16" i="6" l="1"/>
  <c r="D33" i="2"/>
  <c r="C33" i="2" s="1"/>
  <c r="F33" i="2"/>
  <c r="G33" i="2" s="1"/>
  <c r="H33" i="2" s="1"/>
  <c r="I33" i="2" s="1"/>
  <c r="J33" i="2" s="1"/>
  <c r="N130" i="6"/>
  <c r="D108" i="6"/>
  <c r="E35" i="2"/>
  <c r="L34" i="2"/>
  <c r="N130" i="5"/>
  <c r="H25" i="5"/>
  <c r="J16" i="5" s="1"/>
  <c r="I18" i="5"/>
  <c r="F86" i="5"/>
  <c r="F87" i="5" s="1"/>
  <c r="G85" i="5" s="1"/>
  <c r="J86" i="5"/>
  <c r="I86" i="5"/>
  <c r="H86" i="5"/>
  <c r="G86" i="5"/>
  <c r="D108" i="5"/>
  <c r="C16" i="5"/>
  <c r="F76" i="5" s="1"/>
  <c r="C18" i="6"/>
  <c r="D18" i="6" s="1"/>
  <c r="C41" i="6"/>
  <c r="I18" i="6"/>
  <c r="H17" i="6"/>
  <c r="J86" i="6"/>
  <c r="I86" i="6"/>
  <c r="H86" i="6"/>
  <c r="G86" i="6"/>
  <c r="F86" i="6"/>
  <c r="F87" i="6" s="1"/>
  <c r="G85" i="6" s="1"/>
  <c r="D17" i="6"/>
  <c r="F76" i="6"/>
  <c r="N129" i="6"/>
  <c r="B126" i="6" s="1"/>
  <c r="D17" i="5"/>
  <c r="I16" i="5"/>
  <c r="F40" i="5"/>
  <c r="F57" i="5"/>
  <c r="F89" i="5"/>
  <c r="H119" i="5"/>
  <c r="I119" i="5"/>
  <c r="I17" i="5"/>
  <c r="F44" i="5"/>
  <c r="G144" i="2"/>
  <c r="F144" i="2"/>
  <c r="C25" i="5" l="1"/>
  <c r="E25" i="5" s="1"/>
  <c r="J25" i="5"/>
  <c r="J17" i="5"/>
  <c r="I25" i="5"/>
  <c r="J18" i="5"/>
  <c r="J127" i="6"/>
  <c r="N131" i="5"/>
  <c r="J127" i="5" s="1"/>
  <c r="F58" i="6"/>
  <c r="F40" i="6"/>
  <c r="F43" i="5"/>
  <c r="F45" i="5" s="1"/>
  <c r="F57" i="6"/>
  <c r="F44" i="6"/>
  <c r="F56" i="6" s="1"/>
  <c r="G87" i="5"/>
  <c r="H85" i="5" s="1"/>
  <c r="H89" i="5" s="1"/>
  <c r="G89" i="5"/>
  <c r="F56" i="5"/>
  <c r="C18" i="5"/>
  <c r="E18" i="5" s="1"/>
  <c r="E16" i="5"/>
  <c r="G89" i="6"/>
  <c r="G87" i="6"/>
  <c r="H85" i="6" s="1"/>
  <c r="G77" i="6"/>
  <c r="G59" i="6" s="1"/>
  <c r="F77" i="6"/>
  <c r="F59" i="6" s="1"/>
  <c r="F80" i="6"/>
  <c r="F47" i="6" s="1"/>
  <c r="J77" i="6"/>
  <c r="J59" i="6" s="1"/>
  <c r="I77" i="6"/>
  <c r="I59" i="6" s="1"/>
  <c r="H77" i="6"/>
  <c r="H59" i="6" s="1"/>
  <c r="I17" i="6"/>
  <c r="H25" i="6"/>
  <c r="F80" i="5"/>
  <c r="F47" i="5" s="1"/>
  <c r="G77" i="5"/>
  <c r="G59" i="5" s="1"/>
  <c r="F77" i="5"/>
  <c r="F59" i="5" s="1"/>
  <c r="J77" i="5"/>
  <c r="J59" i="5" s="1"/>
  <c r="I77" i="5"/>
  <c r="I59" i="5" s="1"/>
  <c r="H77" i="5"/>
  <c r="H59" i="5" s="1"/>
  <c r="G58" i="5"/>
  <c r="G44" i="5"/>
  <c r="G56" i="5" s="1"/>
  <c r="G57" i="5"/>
  <c r="G40" i="5"/>
  <c r="E17" i="5"/>
  <c r="G119" i="2"/>
  <c r="F119" i="2"/>
  <c r="D25" i="5" l="1"/>
  <c r="G58" i="6"/>
  <c r="F43" i="6"/>
  <c r="F45" i="6" s="1"/>
  <c r="F48" i="6" s="1"/>
  <c r="F50" i="6" s="1"/>
  <c r="F51" i="6" s="1"/>
  <c r="F55" i="6" s="1"/>
  <c r="F60" i="6" s="1"/>
  <c r="F65" i="6" s="1"/>
  <c r="F66" i="6" s="1"/>
  <c r="G43" i="5"/>
  <c r="G45" i="5" s="1"/>
  <c r="G57" i="6"/>
  <c r="G40" i="6"/>
  <c r="G44" i="6"/>
  <c r="G56" i="6" s="1"/>
  <c r="H87" i="5"/>
  <c r="I85" i="5" s="1"/>
  <c r="I89" i="5" s="1"/>
  <c r="D18" i="5"/>
  <c r="C23" i="5"/>
  <c r="E23" i="5" s="1"/>
  <c r="F78" i="6"/>
  <c r="F48" i="5"/>
  <c r="F50" i="5" s="1"/>
  <c r="F51" i="5" s="1"/>
  <c r="F55" i="5" s="1"/>
  <c r="F60" i="5" s="1"/>
  <c r="F65" i="5" s="1"/>
  <c r="F66" i="5" s="1"/>
  <c r="I25" i="6"/>
  <c r="J25" i="6"/>
  <c r="C25" i="6"/>
  <c r="J16" i="6"/>
  <c r="J18" i="6"/>
  <c r="J17" i="6"/>
  <c r="H89" i="6"/>
  <c r="H87" i="6"/>
  <c r="I85" i="6" s="1"/>
  <c r="F78" i="5"/>
  <c r="H57" i="5"/>
  <c r="H40" i="5"/>
  <c r="H44" i="5"/>
  <c r="H56" i="5" s="1"/>
  <c r="H58" i="5"/>
  <c r="E50" i="2"/>
  <c r="H44" i="6" l="1"/>
  <c r="H56" i="6" s="1"/>
  <c r="G43" i="6"/>
  <c r="G45" i="6" s="1"/>
  <c r="G76" i="6"/>
  <c r="G80" i="6" s="1"/>
  <c r="G47" i="6" s="1"/>
  <c r="F95" i="6"/>
  <c r="F94" i="6"/>
  <c r="F96" i="6"/>
  <c r="H43" i="5"/>
  <c r="H45" i="5" s="1"/>
  <c r="I87" i="5"/>
  <c r="J85" i="5" s="1"/>
  <c r="J89" i="5" s="1"/>
  <c r="F96" i="5"/>
  <c r="G76" i="5"/>
  <c r="G78" i="5" s="1"/>
  <c r="F94" i="5"/>
  <c r="F95" i="5"/>
  <c r="H57" i="6"/>
  <c r="H58" i="6"/>
  <c r="H40" i="6"/>
  <c r="C22" i="5"/>
  <c r="E22" i="5" s="1"/>
  <c r="C21" i="5"/>
  <c r="E21" i="5" s="1"/>
  <c r="E144" i="5"/>
  <c r="F117" i="5"/>
  <c r="F67" i="6"/>
  <c r="F70" i="6"/>
  <c r="G64" i="6" s="1"/>
  <c r="I89" i="6"/>
  <c r="I87" i="6"/>
  <c r="J85" i="6" s="1"/>
  <c r="E25" i="6"/>
  <c r="D25" i="6"/>
  <c r="C23" i="6"/>
  <c r="E16" i="6"/>
  <c r="E17" i="6"/>
  <c r="E18" i="6"/>
  <c r="F70" i="5"/>
  <c r="G64" i="5" s="1"/>
  <c r="F67" i="5"/>
  <c r="I44" i="5"/>
  <c r="I56" i="5" s="1"/>
  <c r="I57" i="5"/>
  <c r="I40" i="5"/>
  <c r="I58" i="5"/>
  <c r="J87" i="5"/>
  <c r="D21" i="2"/>
  <c r="F118" i="5" l="1"/>
  <c r="F120" i="5" s="1"/>
  <c r="G117" i="5" s="1"/>
  <c r="G118" i="5" s="1"/>
  <c r="G120" i="5" s="1"/>
  <c r="H117" i="5" s="1"/>
  <c r="I111" i="5"/>
  <c r="G80" i="5"/>
  <c r="G47" i="5" s="1"/>
  <c r="G48" i="5" s="1"/>
  <c r="G50" i="5" s="1"/>
  <c r="G48" i="6"/>
  <c r="G50" i="6" s="1"/>
  <c r="G51" i="6" s="1"/>
  <c r="G55" i="6" s="1"/>
  <c r="G60" i="6" s="1"/>
  <c r="G65" i="6" s="1"/>
  <c r="G66" i="6" s="1"/>
  <c r="I40" i="6"/>
  <c r="H43" i="6"/>
  <c r="H45" i="6" s="1"/>
  <c r="G78" i="6"/>
  <c r="H76" i="5"/>
  <c r="H80" i="5" s="1"/>
  <c r="G94" i="5"/>
  <c r="G95" i="5"/>
  <c r="I43" i="5"/>
  <c r="I45" i="5" s="1"/>
  <c r="I57" i="6"/>
  <c r="I44" i="6"/>
  <c r="I56" i="6" s="1"/>
  <c r="I58" i="6"/>
  <c r="J126" i="5"/>
  <c r="D23" i="5"/>
  <c r="J89" i="6"/>
  <c r="J87" i="6"/>
  <c r="J58" i="6"/>
  <c r="C21" i="6"/>
  <c r="E21" i="6" s="1"/>
  <c r="E144" i="6"/>
  <c r="C22" i="6"/>
  <c r="E22" i="6" s="1"/>
  <c r="F117" i="6"/>
  <c r="I111" i="6" s="1"/>
  <c r="E23" i="6"/>
  <c r="J44" i="5"/>
  <c r="J56" i="5" s="1"/>
  <c r="J40" i="5"/>
  <c r="J58" i="5"/>
  <c r="J57" i="5"/>
  <c r="D22" i="2"/>
  <c r="H78" i="5" l="1"/>
  <c r="H94" i="5" s="1"/>
  <c r="I113" i="5"/>
  <c r="H111" i="5"/>
  <c r="G96" i="6"/>
  <c r="I113" i="6"/>
  <c r="H111" i="6"/>
  <c r="J44" i="6"/>
  <c r="J56" i="6" s="1"/>
  <c r="I43" i="6"/>
  <c r="I45" i="6" s="1"/>
  <c r="J40" i="6"/>
  <c r="J43" i="6" s="1"/>
  <c r="J57" i="6"/>
  <c r="H76" i="6"/>
  <c r="G95" i="6"/>
  <c r="G94" i="6"/>
  <c r="G51" i="5"/>
  <c r="G55" i="5" s="1"/>
  <c r="G60" i="5" s="1"/>
  <c r="G65" i="5" s="1"/>
  <c r="G66" i="5" s="1"/>
  <c r="G67" i="5" s="1"/>
  <c r="G96" i="5"/>
  <c r="H47" i="5"/>
  <c r="H48" i="5" s="1"/>
  <c r="H50" i="5" s="1"/>
  <c r="H51" i="5" s="1"/>
  <c r="H55" i="5" s="1"/>
  <c r="H60" i="5" s="1"/>
  <c r="H65" i="5" s="1"/>
  <c r="G67" i="6"/>
  <c r="G70" i="6"/>
  <c r="H64" i="6" s="1"/>
  <c r="F118" i="6"/>
  <c r="F120" i="6"/>
  <c r="G117" i="6" s="1"/>
  <c r="D23" i="6"/>
  <c r="H118" i="5"/>
  <c r="H120" i="5" s="1"/>
  <c r="I117" i="5" s="1"/>
  <c r="J43" i="5"/>
  <c r="J45" i="5" s="1"/>
  <c r="J128" i="5"/>
  <c r="L40" i="2"/>
  <c r="L37" i="2"/>
  <c r="I137" i="2"/>
  <c r="D107" i="2"/>
  <c r="D106" i="2"/>
  <c r="D105" i="2"/>
  <c r="H95" i="5" l="1"/>
  <c r="I76" i="5"/>
  <c r="I80" i="5" s="1"/>
  <c r="I78" i="5"/>
  <c r="J76" i="5" s="1"/>
  <c r="J78" i="5" s="1"/>
  <c r="G70" i="5"/>
  <c r="H64" i="5" s="1"/>
  <c r="H66" i="5" s="1"/>
  <c r="I112" i="5"/>
  <c r="J112" i="5" s="1"/>
  <c r="J113" i="5"/>
  <c r="I112" i="6"/>
  <c r="J112" i="6" s="1"/>
  <c r="J113" i="6"/>
  <c r="H78" i="6"/>
  <c r="H80" i="6"/>
  <c r="J45" i="6"/>
  <c r="J126" i="6"/>
  <c r="J128" i="6" s="1"/>
  <c r="H96" i="5"/>
  <c r="I47" i="5"/>
  <c r="I48" i="5" s="1"/>
  <c r="I50" i="5" s="1"/>
  <c r="G118" i="6"/>
  <c r="G120" i="6" s="1"/>
  <c r="H117" i="6" s="1"/>
  <c r="I118" i="5"/>
  <c r="I120" i="5" s="1"/>
  <c r="J117" i="5" s="1"/>
  <c r="D108" i="2"/>
  <c r="I94" i="5" l="1"/>
  <c r="I95" i="5"/>
  <c r="J80" i="5"/>
  <c r="J47" i="5" s="1"/>
  <c r="J48" i="5" s="1"/>
  <c r="J50" i="5" s="1"/>
  <c r="J51" i="5" s="1"/>
  <c r="J55" i="5" s="1"/>
  <c r="J60" i="5" s="1"/>
  <c r="J65" i="5" s="1"/>
  <c r="H47" i="6"/>
  <c r="H48" i="6" s="1"/>
  <c r="H50" i="6" s="1"/>
  <c r="H51" i="6" s="1"/>
  <c r="H55" i="6" s="1"/>
  <c r="H60" i="6" s="1"/>
  <c r="H65" i="6" s="1"/>
  <c r="H66" i="6" s="1"/>
  <c r="H69" i="6" s="1"/>
  <c r="I76" i="6"/>
  <c r="H95" i="6"/>
  <c r="H94" i="6"/>
  <c r="I51" i="5"/>
  <c r="I55" i="5" s="1"/>
  <c r="I60" i="5" s="1"/>
  <c r="I65" i="5" s="1"/>
  <c r="I96" i="5"/>
  <c r="J130" i="5"/>
  <c r="J95" i="5"/>
  <c r="J94" i="5"/>
  <c r="H118" i="6"/>
  <c r="J118" i="5"/>
  <c r="J120" i="5" s="1"/>
  <c r="H67" i="5"/>
  <c r="H70" i="5"/>
  <c r="I64" i="5" s="1"/>
  <c r="F64" i="2"/>
  <c r="H18" i="2"/>
  <c r="I18" i="2" s="1"/>
  <c r="H144" i="6" l="1"/>
  <c r="H119" i="6"/>
  <c r="H120" i="6"/>
  <c r="I117" i="6" s="1"/>
  <c r="I118" i="6" s="1"/>
  <c r="I66" i="5"/>
  <c r="I67" i="5" s="1"/>
  <c r="H96" i="6"/>
  <c r="I80" i="6"/>
  <c r="I78" i="6"/>
  <c r="H67" i="6"/>
  <c r="H70" i="6"/>
  <c r="I64" i="6" s="1"/>
  <c r="J96" i="5"/>
  <c r="N129" i="2"/>
  <c r="B126" i="2" s="1"/>
  <c r="N127" i="2"/>
  <c r="N130" i="2" s="1"/>
  <c r="N131" i="2" s="1"/>
  <c r="D16" i="2"/>
  <c r="C16" i="2" s="1"/>
  <c r="C17" i="2"/>
  <c r="D17" i="2" s="1"/>
  <c r="H16" i="2"/>
  <c r="I16" i="2" s="1"/>
  <c r="I70" i="5" l="1"/>
  <c r="J64" i="5" s="1"/>
  <c r="J66" i="5" s="1"/>
  <c r="J67" i="5" s="1"/>
  <c r="N12" i="5" s="1"/>
  <c r="J76" i="6"/>
  <c r="I95" i="6"/>
  <c r="I94" i="6"/>
  <c r="I47" i="6"/>
  <c r="I48" i="6" s="1"/>
  <c r="I50" i="6" s="1"/>
  <c r="I51" i="6" s="1"/>
  <c r="I55" i="6" s="1"/>
  <c r="I60" i="6" s="1"/>
  <c r="I65" i="6" s="1"/>
  <c r="I66" i="6" s="1"/>
  <c r="I69" i="6" s="1"/>
  <c r="H17" i="2"/>
  <c r="I17" i="2" s="1"/>
  <c r="F85" i="2"/>
  <c r="H25" i="2"/>
  <c r="F76" i="2"/>
  <c r="F80" i="2" s="1"/>
  <c r="I144" i="6" l="1"/>
  <c r="I119" i="6"/>
  <c r="I120" i="6" s="1"/>
  <c r="J117" i="6" s="1"/>
  <c r="J118" i="6" s="1"/>
  <c r="J120" i="6" s="1"/>
  <c r="J70" i="5"/>
  <c r="J129" i="5" s="1"/>
  <c r="J131" i="5" s="1"/>
  <c r="J132" i="5" s="1"/>
  <c r="I96" i="6"/>
  <c r="I70" i="6"/>
  <c r="J64" i="6" s="1"/>
  <c r="I67" i="6"/>
  <c r="J78" i="6"/>
  <c r="J80" i="6"/>
  <c r="J18" i="2"/>
  <c r="I25" i="2"/>
  <c r="J127" i="2"/>
  <c r="J86" i="2"/>
  <c r="G86" i="2"/>
  <c r="I86" i="2"/>
  <c r="H86" i="2"/>
  <c r="F86" i="2"/>
  <c r="F87" i="2" s="1"/>
  <c r="G85" i="2" s="1"/>
  <c r="G89" i="2" s="1"/>
  <c r="G77" i="2"/>
  <c r="H77" i="2"/>
  <c r="I77" i="2"/>
  <c r="J77" i="2"/>
  <c r="F77" i="2"/>
  <c r="F89" i="2"/>
  <c r="F47" i="2" s="1"/>
  <c r="C18" i="2"/>
  <c r="D18" i="2" s="1"/>
  <c r="J47" i="6" l="1"/>
  <c r="J48" i="6" s="1"/>
  <c r="J50" i="6" s="1"/>
  <c r="J51" i="6" s="1"/>
  <c r="J55" i="6" s="1"/>
  <c r="J60" i="6" s="1"/>
  <c r="J65" i="6" s="1"/>
  <c r="J66" i="6" s="1"/>
  <c r="J130" i="6"/>
  <c r="J95" i="6"/>
  <c r="J94" i="6"/>
  <c r="J133" i="5"/>
  <c r="J134" i="5" s="1"/>
  <c r="I59" i="2"/>
  <c r="H59" i="2"/>
  <c r="F59" i="2"/>
  <c r="G59" i="2"/>
  <c r="J59" i="2"/>
  <c r="F78" i="2"/>
  <c r="G87" i="2"/>
  <c r="H85" i="2" s="1"/>
  <c r="H87" i="2" s="1"/>
  <c r="I85" i="2" s="1"/>
  <c r="I89" i="2" s="1"/>
  <c r="J25" i="2"/>
  <c r="C25" i="2"/>
  <c r="J16" i="2"/>
  <c r="J17" i="2"/>
  <c r="J96" i="6" l="1"/>
  <c r="J67" i="6"/>
  <c r="N12" i="6" s="1"/>
  <c r="J70" i="6"/>
  <c r="J129" i="6" s="1"/>
  <c r="J131" i="6" s="1"/>
  <c r="J132" i="6" s="1"/>
  <c r="J133" i="6" s="1"/>
  <c r="J134" i="6" s="1"/>
  <c r="G76" i="2"/>
  <c r="G80" i="2" s="1"/>
  <c r="C23" i="2"/>
  <c r="E144" i="2" s="1"/>
  <c r="D25" i="2"/>
  <c r="H89" i="2"/>
  <c r="I87" i="2"/>
  <c r="J85" i="2" s="1"/>
  <c r="E17" i="2"/>
  <c r="E25" i="2"/>
  <c r="E16" i="2"/>
  <c r="E18" i="2"/>
  <c r="G47" i="2" l="1"/>
  <c r="G78" i="2"/>
  <c r="H76" i="2" s="1"/>
  <c r="H80" i="2" s="1"/>
  <c r="H47" i="2" s="1"/>
  <c r="C22" i="2"/>
  <c r="E22" i="2" s="1"/>
  <c r="C21" i="2"/>
  <c r="E21" i="2" s="1"/>
  <c r="E23" i="2"/>
  <c r="F117" i="2"/>
  <c r="I111" i="2" s="1"/>
  <c r="J89" i="2"/>
  <c r="J87" i="2"/>
  <c r="H111" i="2" l="1"/>
  <c r="I113" i="2"/>
  <c r="H78" i="2"/>
  <c r="D23" i="2"/>
  <c r="F118" i="2"/>
  <c r="F120" i="2" s="1"/>
  <c r="E41" i="2"/>
  <c r="D41" i="2"/>
  <c r="C41" i="2"/>
  <c r="E38" i="2"/>
  <c r="D38" i="2"/>
  <c r="J113" i="2" l="1"/>
  <c r="I112" i="2"/>
  <c r="J112" i="2" s="1"/>
  <c r="I76" i="2"/>
  <c r="F122" i="2"/>
  <c r="I78" i="2" l="1"/>
  <c r="I80" i="2"/>
  <c r="I47" i="2" s="1"/>
  <c r="F62" i="2"/>
  <c r="J76" i="2" l="1"/>
  <c r="J78" i="2" l="1"/>
  <c r="J80" i="2"/>
  <c r="J47" i="2" l="1"/>
  <c r="J130" i="2"/>
  <c r="G117" i="2" l="1"/>
  <c r="G118" i="2" l="1"/>
  <c r="G120" i="2" l="1"/>
  <c r="H117" i="2" s="1"/>
  <c r="H118" i="2" s="1"/>
  <c r="J119" i="2" l="1"/>
  <c r="F37" i="2" l="1"/>
  <c r="F44" i="2" s="1"/>
  <c r="F56" i="2" s="1"/>
  <c r="F57" i="2" l="1"/>
  <c r="G37" i="2"/>
  <c r="G40" i="2" s="1"/>
  <c r="F58" i="2"/>
  <c r="F40" i="2"/>
  <c r="G58" i="2" l="1"/>
  <c r="G44" i="2"/>
  <c r="G56" i="2" s="1"/>
  <c r="G57" i="2"/>
  <c r="H37" i="2"/>
  <c r="F43" i="2"/>
  <c r="G43" i="2"/>
  <c r="I37" i="2" l="1"/>
  <c r="H40" i="2"/>
  <c r="H43" i="2" s="1"/>
  <c r="H94" i="2" s="1"/>
  <c r="H57" i="2"/>
  <c r="H44" i="2"/>
  <c r="H56" i="2" s="1"/>
  <c r="H58" i="2"/>
  <c r="G94" i="2"/>
  <c r="G45" i="2"/>
  <c r="G48" i="2" s="1"/>
  <c r="G95" i="2"/>
  <c r="F94" i="2"/>
  <c r="F45" i="2"/>
  <c r="F48" i="2" s="1"/>
  <c r="F95" i="2"/>
  <c r="H95" i="2" l="1"/>
  <c r="H45" i="2"/>
  <c r="H48" i="2" s="1"/>
  <c r="H50" i="2" s="1"/>
  <c r="I40" i="2"/>
  <c r="I43" i="2" s="1"/>
  <c r="J37" i="2"/>
  <c r="I44" i="2"/>
  <c r="I56" i="2" s="1"/>
  <c r="I58" i="2"/>
  <c r="I57" i="2"/>
  <c r="F50" i="2"/>
  <c r="F96" i="2" s="1"/>
  <c r="F51" i="2"/>
  <c r="G50" i="2"/>
  <c r="G96" i="2" s="1"/>
  <c r="F55" i="2" l="1"/>
  <c r="F60" i="2" s="1"/>
  <c r="F65" i="2" s="1"/>
  <c r="F66" i="2" s="1"/>
  <c r="F67" i="2" s="1"/>
  <c r="I45" i="2"/>
  <c r="I48" i="2" s="1"/>
  <c r="I50" i="2" s="1"/>
  <c r="I95" i="2"/>
  <c r="I94" i="2"/>
  <c r="H51" i="2"/>
  <c r="H55" i="2" s="1"/>
  <c r="H60" i="2" s="1"/>
  <c r="H65" i="2" s="1"/>
  <c r="J57" i="2"/>
  <c r="J44" i="2"/>
  <c r="J56" i="2" s="1"/>
  <c r="J40" i="2"/>
  <c r="J58" i="2"/>
  <c r="G51" i="2"/>
  <c r="G55" i="2" s="1"/>
  <c r="G60" i="2" s="1"/>
  <c r="G65" i="2" s="1"/>
  <c r="F70" i="2" l="1"/>
  <c r="G64" i="2" s="1"/>
  <c r="G66" i="2"/>
  <c r="G67" i="2" s="1"/>
  <c r="J43" i="2"/>
  <c r="J94" i="2" s="1"/>
  <c r="J126" i="2"/>
  <c r="J128" i="2" s="1"/>
  <c r="I51" i="2"/>
  <c r="I55" i="2" s="1"/>
  <c r="I60" i="2" s="1"/>
  <c r="I65" i="2" s="1"/>
  <c r="G70" i="2" l="1"/>
  <c r="H64" i="2" s="1"/>
  <c r="H66" i="2" s="1"/>
  <c r="H69" i="2" s="1"/>
  <c r="H144" i="2" s="1"/>
  <c r="J45" i="2"/>
  <c r="J48" i="2" s="1"/>
  <c r="J50" i="2" s="1"/>
  <c r="J96" i="2" s="1"/>
  <c r="J95" i="2"/>
  <c r="H67" i="2" l="1"/>
  <c r="H70" i="2"/>
  <c r="I64" i="2" s="1"/>
  <c r="I66" i="2" s="1"/>
  <c r="I69" i="2" s="1"/>
  <c r="I144" i="2" s="1"/>
  <c r="H96" i="2"/>
  <c r="H119" i="2"/>
  <c r="H120" i="2" s="1"/>
  <c r="I117" i="2" s="1"/>
  <c r="I118" i="2" s="1"/>
  <c r="J51" i="2"/>
  <c r="I67" i="2" l="1"/>
  <c r="I70" i="2"/>
  <c r="J64" i="2" s="1"/>
  <c r="I96" i="2"/>
  <c r="I119" i="2"/>
  <c r="I120" i="2" s="1"/>
  <c r="J117" i="2" s="1"/>
  <c r="J118" i="2" s="1"/>
  <c r="J120" i="2" s="1"/>
  <c r="J55" i="2"/>
  <c r="J60" i="2" s="1"/>
  <c r="J65" i="2" s="1"/>
  <c r="J142" i="2"/>
  <c r="J66" i="2" l="1"/>
  <c r="J70" i="2" s="1"/>
  <c r="J129" i="2" s="1"/>
  <c r="J131" i="2" s="1"/>
  <c r="J132" i="2" s="1"/>
  <c r="J133" i="2" s="1"/>
  <c r="J134" i="2" s="1"/>
  <c r="J67" i="2" l="1"/>
  <c r="N12" i="2" s="1"/>
  <c r="H112" i="5" l="1"/>
  <c r="D113" i="5"/>
  <c r="H113" i="5"/>
  <c r="D114" i="5"/>
  <c r="J135" i="5"/>
  <c r="J136" i="5"/>
  <c r="J137" i="5"/>
  <c r="I138" i="5"/>
  <c r="J138" i="5"/>
  <c r="I139" i="5"/>
  <c r="J139" i="5"/>
  <c r="I140" i="5"/>
  <c r="J140" i="5"/>
  <c r="J144" i="5"/>
  <c r="J146" i="5"/>
  <c r="J147" i="5"/>
  <c r="J148" i="5"/>
  <c r="H112" i="2"/>
  <c r="D113" i="2"/>
  <c r="H113" i="2"/>
  <c r="D114" i="2"/>
  <c r="J135" i="2"/>
  <c r="J136" i="2"/>
  <c r="J137" i="2"/>
  <c r="I138" i="2"/>
  <c r="J138" i="2"/>
  <c r="I139" i="2"/>
  <c r="J139" i="2"/>
  <c r="I140" i="2"/>
  <c r="J140" i="2"/>
  <c r="J144" i="2"/>
  <c r="J146" i="2"/>
  <c r="J147" i="2"/>
  <c r="J148" i="2"/>
  <c r="H112" i="6"/>
  <c r="D113" i="6"/>
  <c r="H113" i="6"/>
  <c r="D114" i="6"/>
  <c r="J135" i="6"/>
  <c r="J136" i="6"/>
  <c r="J137" i="6"/>
  <c r="I138" i="6"/>
  <c r="J138" i="6"/>
  <c r="I139" i="6"/>
  <c r="J139" i="6"/>
  <c r="I140" i="6"/>
  <c r="J140" i="6"/>
  <c r="J144" i="6"/>
  <c r="J146" i="6"/>
  <c r="J147" i="6"/>
  <c r="J148" i="6"/>
</calcChain>
</file>

<file path=xl/sharedStrings.xml><?xml version="1.0" encoding="utf-8"?>
<sst xmlns="http://schemas.openxmlformats.org/spreadsheetml/2006/main" count="558" uniqueCount="157">
  <si>
    <t>Seller Debt</t>
  </si>
  <si>
    <t>EBITDA</t>
  </si>
  <si>
    <t>Exit Multiple</t>
  </si>
  <si>
    <t>TEV</t>
  </si>
  <si>
    <t>x</t>
  </si>
  <si>
    <t>$000s unless otherwise indicated</t>
  </si>
  <si>
    <t>Sources</t>
  </si>
  <si>
    <t>Uses</t>
  </si>
  <si>
    <t>Term Debt</t>
  </si>
  <si>
    <t>Investor Equity</t>
  </si>
  <si>
    <t>Amount</t>
  </si>
  <si>
    <t>% of Total</t>
  </si>
  <si>
    <t>Total Sources</t>
  </si>
  <si>
    <t>Total Uses</t>
  </si>
  <si>
    <t>Summary Financials</t>
  </si>
  <si>
    <t>Growth</t>
  </si>
  <si>
    <t>Margin</t>
  </si>
  <si>
    <t>% of Revenue</t>
  </si>
  <si>
    <t xml:space="preserve"> (+) NWC </t>
  </si>
  <si>
    <t>Cash Flow Statement</t>
  </si>
  <si>
    <t>Income Statement</t>
  </si>
  <si>
    <t>EBIT</t>
  </si>
  <si>
    <t>Depreciation</t>
  </si>
  <si>
    <t>Interest</t>
  </si>
  <si>
    <t>EBT</t>
  </si>
  <si>
    <t>Net Income</t>
  </si>
  <si>
    <t xml:space="preserve"> (+) D&amp;A</t>
  </si>
  <si>
    <t xml:space="preserve"> (-) CAPEX</t>
  </si>
  <si>
    <t>Debt Schedule</t>
  </si>
  <si>
    <t>Term Loan</t>
  </si>
  <si>
    <t>Beginning Balance</t>
  </si>
  <si>
    <t>Ending Balance</t>
  </si>
  <si>
    <t>Interest Expense</t>
  </si>
  <si>
    <t>Total Debt</t>
  </si>
  <si>
    <t>Balance</t>
  </si>
  <si>
    <t>(-) Paydown</t>
  </si>
  <si>
    <t>Beginning Cash</t>
  </si>
  <si>
    <t>Cash to B/S</t>
  </si>
  <si>
    <t>`</t>
  </si>
  <si>
    <t>Transaction Assumptions</t>
  </si>
  <si>
    <t>Transaction Costs</t>
  </si>
  <si>
    <t>Seller Debt Quantum</t>
  </si>
  <si>
    <t>(+/-) Change in Cash</t>
  </si>
  <si>
    <t>Exit Waterfall &amp; Returns</t>
  </si>
  <si>
    <t>Check</t>
  </si>
  <si>
    <t>Interest Rate</t>
  </si>
  <si>
    <t>TEV @ Entry</t>
  </si>
  <si>
    <t>Multiple @ Entry</t>
  </si>
  <si>
    <t>Multiple @ Exit</t>
  </si>
  <si>
    <t>Entry Multiple</t>
  </si>
  <si>
    <t>Preferred Equity</t>
  </si>
  <si>
    <t>Earnout</t>
  </si>
  <si>
    <t>Earnout Amount</t>
  </si>
  <si>
    <t>Cash after Debt</t>
  </si>
  <si>
    <t>Vested Employee Incentive Pool</t>
  </si>
  <si>
    <t>Total</t>
  </si>
  <si>
    <t>Minimum IRR Hurdle</t>
  </si>
  <si>
    <t>Maximum IRR Hurdle</t>
  </si>
  <si>
    <t>(x) Multiple</t>
  </si>
  <si>
    <t>(+) Cash</t>
  </si>
  <si>
    <t>(-) Debt</t>
  </si>
  <si>
    <t>Total Equity Value</t>
  </si>
  <si>
    <t>(-) Preferred Return</t>
  </si>
  <si>
    <t>Search Capital</t>
  </si>
  <si>
    <t>Step-Up</t>
  </si>
  <si>
    <t>(-) Return of Capital</t>
  </si>
  <si>
    <t>Employees</t>
  </si>
  <si>
    <t xml:space="preserve">Investors </t>
  </si>
  <si>
    <t xml:space="preserve">Returns Analysis - 5 Year Hold </t>
  </si>
  <si>
    <t xml:space="preserve"> (-) Debt Paydown</t>
  </si>
  <si>
    <t>Cash for Earnout</t>
  </si>
  <si>
    <t>Y1 Revenue Threshold</t>
  </si>
  <si>
    <t>Equity Available to Common</t>
  </si>
  <si>
    <t>Common Proceeds</t>
  </si>
  <si>
    <t>Circuit Breaker (0=Off)</t>
  </si>
  <si>
    <t>*If the model is getting errors turn this to 0 and back to 1.</t>
  </si>
  <si>
    <t>2024 Search Fund Study | Stanford Graduate School of Business</t>
  </si>
  <si>
    <t>Research on EBITDA Margins in ETA - Thomas, Stevens, &amp; Wasserstein</t>
  </si>
  <si>
    <t>Exit Assumptions</t>
  </si>
  <si>
    <t>Assumptions &amp; BK Growth Notes</t>
  </si>
  <si>
    <t>Amortization Schedule</t>
  </si>
  <si>
    <t>(+) Preferred Return</t>
  </si>
  <si>
    <t xml:space="preserve">Deal Structure </t>
  </si>
  <si>
    <t>(-) Mandatory Amortization</t>
  </si>
  <si>
    <t>Total Enterprise Value</t>
  </si>
  <si>
    <t>*Refer to the Search Fund Study to understand median multiples, revenue, EBITDA, and more.</t>
  </si>
  <si>
    <t>Instructions</t>
  </si>
  <si>
    <t>4. Check the "check" to make sure your business has the cash flow profile to support your capital structure.</t>
  </si>
  <si>
    <t>6. Evaluate the returns.</t>
  </si>
  <si>
    <t>*Check here to make sure your business has enough cash flow to support the capital structure.</t>
  </si>
  <si>
    <t>3. Adjust the remaining assumptions in the yellow boxes for the cash flow statement and debt schedule as appropriate.</t>
  </si>
  <si>
    <t>CAGR</t>
  </si>
  <si>
    <t>*For asset-light search fund target businesses, we recommend modeling this as a 1% of revenue source of cash to be conservative.</t>
  </si>
  <si>
    <t>*For asset-light search fund target businesses, CAPEX will likely be minimal at around ~1-3% of revenue.</t>
  </si>
  <si>
    <t>*For asset-light search fund target businesses, depreciation will likely be minimal at around ~1-3% of revenue.</t>
  </si>
  <si>
    <t>Total Equity</t>
  </si>
  <si>
    <t>Equity</t>
  </si>
  <si>
    <t>% of Equity</t>
  </si>
  <si>
    <t>Fees</t>
  </si>
  <si>
    <t>LLC/C-corp</t>
  </si>
  <si>
    <t>Taxes Owed / Distributed</t>
  </si>
  <si>
    <t>Investor Cap Gains Rate</t>
  </si>
  <si>
    <t>ECF Distribution</t>
  </si>
  <si>
    <t>Ending Cash before Distributions</t>
  </si>
  <si>
    <t>Ending Cash after Distributions</t>
  </si>
  <si>
    <t>(-) Distributions</t>
  </si>
  <si>
    <t>(-)Distributions</t>
  </si>
  <si>
    <t>*Adjust amort schedule to account for term and amort of term loan debt. For bank lenders, we often see amortization schedules of  20%|20%|20%|20%|20% for non bank lenders we often see 0%|0%|0%|0%|100%.</t>
  </si>
  <si>
    <t>*Toggle this to distribute 1/3 of accumulated cash in Year 3 &amp; 4.</t>
  </si>
  <si>
    <t>Tax Distribution Benefit for IRR</t>
  </si>
  <si>
    <t>*For base case, we don't recommend underwriting to multiple expansion; this can be upside at exit.</t>
  </si>
  <si>
    <t>Preferred IRR Calc</t>
  </si>
  <si>
    <t>IRR</t>
  </si>
  <si>
    <t>MOIC</t>
  </si>
  <si>
    <t>Seller Equity Rollover</t>
  </si>
  <si>
    <t>5. Modify the deal structure and exit assumptions if needed. Note: If the model is getting errors, turn the circuit breaker to 0 and back to 1.</t>
  </si>
  <si>
    <t>*Adjust amort schedule to account for term and amort of seller debt. It is difficult to have seller debt amortize while term loan debt is still outstanding.</t>
  </si>
  <si>
    <t>Searcher(s)</t>
  </si>
  <si>
    <t>$s to Searcher(s)</t>
  </si>
  <si>
    <t>*It is difficult to accelerate the growth of a business that is not already consistently growing at a solid pace.</t>
  </si>
  <si>
    <t>*In the short/medium run, margins in ETA often decline and remain lower than historical margins (see research linked below for more). We rarely see a search fund business of scale with margins greater than 35%.</t>
  </si>
  <si>
    <t>*25% equity for solo searches and 30% for partnered searches.</t>
  </si>
  <si>
    <t>Vested Performance Equity</t>
  </si>
  <si>
    <t>Searcher(s) Equity (at close)</t>
  </si>
  <si>
    <t>Searcher(s) Equity (time vest)</t>
  </si>
  <si>
    <t>Searcher(s) Equity (performance)</t>
  </si>
  <si>
    <t>Searcher(s) Common Equity</t>
  </si>
  <si>
    <t>LTM Period</t>
  </si>
  <si>
    <t>*To qualify for QSBS, TEV must be &lt;$70M you must be a C-corp and fit certain industry requirements (many except financial and professional services firms, certain categories of healthcare, and certain other excluded businesses).</t>
  </si>
  <si>
    <t>QSBS | Insights | Holland &amp; Knight</t>
  </si>
  <si>
    <t>TXN + 5</t>
  </si>
  <si>
    <t>TXN Close</t>
  </si>
  <si>
    <t>(-) Searcher(s) Catch Up</t>
  </si>
  <si>
    <t>Searcher(s) Catch Up</t>
  </si>
  <si>
    <t>*This is meant to be a simple example of an earnout; earnout structures can vary.</t>
  </si>
  <si>
    <t>*Typically, searcher(s) put de minimis cash on the balance sheet.</t>
  </si>
  <si>
    <t>Total Searcher Vested Equity</t>
  </si>
  <si>
    <t>C-corp</t>
  </si>
  <si>
    <t>2. Fill out the transaction assumptions with TEV &amp; leverage and other key structure information.</t>
  </si>
  <si>
    <t>1. Fill out historical Revenue and EBITDA. Project Revenue and EBITDA for the 5 year period.</t>
  </si>
  <si>
    <t>ARR</t>
  </si>
  <si>
    <t>Ending ARR</t>
  </si>
  <si>
    <t>Debt Metrics</t>
  </si>
  <si>
    <t>Total Senior Leverage</t>
  </si>
  <si>
    <t>Fixed Charge Coverage Ratio</t>
  </si>
  <si>
    <t>Total Leverage</t>
  </si>
  <si>
    <t>Preferred Units</t>
  </si>
  <si>
    <t>Common Units</t>
  </si>
  <si>
    <t>%</t>
  </si>
  <si>
    <t>Vested</t>
  </si>
  <si>
    <t>*These are examples of metrics that may be tested as covenants in term loan agreements. These are more typical for EBITDA based debt. ARR debt covenants may include tests of retention, profitability, and liquidity.</t>
  </si>
  <si>
    <t>*Use this if you are looking at an ARR multiple deal. Revenue for a period is calculated as the average of beginning and ending ARR.</t>
  </si>
  <si>
    <t>*Forecast revenue here if you are looking at an EBITDA multiple deal. For an ARR deal, you do not need historical revenue numbers.</t>
  </si>
  <si>
    <t>GAAP EBITDA</t>
  </si>
  <si>
    <t>GAAP Revenue</t>
  </si>
  <si>
    <t>*You may be able to amortize a portion of the purchase price. This should be further diligenced with your legal counsel.</t>
  </si>
  <si>
    <t>G&amp;B Model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</si>
</sst>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7" formatCode="&quot;$&quot;#,##0.00_);\(&quot;$&quot;#,##0.00\)"/>
    <numFmt numFmtId="164" formatCode="##,##0;\(##,##0\)"/>
    <numFmt numFmtId="165" formatCode="0.0"/>
    <numFmt numFmtId="166" formatCode="##,##0.0;\(##,##0.0\)"/>
    <numFmt numFmtId="167" formatCode="0.0\x"/>
    <numFmt numFmtId="168" formatCode="0.0\x;\(0.0\x\);&quot;–&quot;"/>
    <numFmt numFmtId="169" formatCode="#%"/>
    <numFmt numFmtId="170" formatCode="\-"/>
    <numFmt numFmtId="171" formatCode="&quot;$&quot;#,#00"/>
    <numFmt numFmtId="172" formatCode="&quot;$&quot;#,#00;\(&quot;$&quot;#,#00\)"/>
    <numFmt numFmtId="173" formatCode="&quot;$&quot;##,##0;\(&quot;$&quot;##,##0\)"/>
    <numFmt numFmtId="174" formatCode="yyyy;@"/>
    <numFmt numFmtId="175" formatCode="mm\-dd\-yyyy;@"/>
    <numFmt numFmtId="176" formatCode="0.0000"/>
    <numFmt numFmtId="177" formatCode="#0%"/>
    <numFmt numFmtId="178" formatCode="#0.00%"/>
    <numFmt numFmtId="179" formatCode="#0.0000%"/>
    <numFmt numFmtId="180" formatCode="&quot;$&quot;#,##0.00"/>
    <numFmt numFmtId="181" formatCode="&quot;$&quot;#,##0.0_);\(&quot;$&quot;#,##0.0\)"/>
  </numFmts>
  <fonts count="26" x14ac:knownFonts="1">
    <font>
      <sz val="11"/>
      <color theme="1"/>
      <name val="Aptos Narrow"/>
      <family val="2"/>
      <scheme val="minor"/>
    </font>
    <font>
      <sz val="11"/>
      <color theme="1"/>
      <name val="Aptos Narrow"/>
      <family val="2"/>
      <scheme val="minor"/>
    </font>
    <font>
      <sz val="20"/>
      <color theme="0"/>
      <name val="Arial"/>
      <family val="2"/>
    </font>
    <font>
      <sz val="8"/>
      <color theme="1"/>
      <name val="Arial"/>
      <family val="2"/>
    </font>
    <font>
      <sz val="8"/>
      <color theme="0"/>
      <name val="Arial"/>
      <family val="2"/>
    </font>
    <font>
      <i/>
      <sz val="8"/>
      <color theme="1"/>
      <name val="Arial"/>
      <family val="2"/>
    </font>
    <font>
      <u/>
      <sz val="8"/>
      <color theme="1"/>
      <name val="Arial"/>
      <family val="2"/>
    </font>
    <font>
      <sz val="8"/>
      <color rgb="FF0000FF"/>
      <name val="Arial"/>
      <family val="2"/>
    </font>
    <font>
      <sz val="8"/>
      <name val="Arial"/>
      <family val="2"/>
    </font>
    <font>
      <b/>
      <sz val="8"/>
      <color theme="0"/>
      <name val="Arial"/>
      <family val="2"/>
    </font>
    <font>
      <b/>
      <u/>
      <sz val="8"/>
      <color theme="1"/>
      <name val="Arial"/>
      <family val="2"/>
    </font>
    <font>
      <i/>
      <sz val="8"/>
      <color rgb="FF0000FF"/>
      <name val="Arial"/>
      <family val="2"/>
    </font>
    <font>
      <sz val="8"/>
      <color rgb="FF000000"/>
      <name val="Arial"/>
      <family val="2"/>
    </font>
    <font>
      <sz val="8"/>
      <color theme="2"/>
      <name val="Arial"/>
      <family val="2"/>
    </font>
    <font>
      <sz val="8"/>
      <color rgb="FFFF0000"/>
      <name val="Arial"/>
      <family val="2"/>
    </font>
    <font>
      <b/>
      <sz val="8"/>
      <color rgb="FFFF0000"/>
      <name val="Arial"/>
      <family val="2"/>
    </font>
    <font>
      <u/>
      <sz val="11"/>
      <color theme="10"/>
      <name val="Aptos Narrow"/>
      <family val="2"/>
      <scheme val="minor"/>
    </font>
    <font>
      <i/>
      <sz val="8"/>
      <color theme="5"/>
      <name val="Arial"/>
      <family val="2"/>
    </font>
    <font>
      <b/>
      <sz val="8"/>
      <color theme="1"/>
      <name val="Arial"/>
      <family val="2"/>
    </font>
    <font>
      <i/>
      <sz val="8"/>
      <color rgb="FFFF0000"/>
      <name val="Arial"/>
      <family val="2"/>
    </font>
    <font>
      <b/>
      <u/>
      <sz val="8"/>
      <name val="Arial"/>
      <family val="2"/>
    </font>
    <font>
      <i/>
      <sz val="8"/>
      <name val="Arial"/>
      <family val="2"/>
    </font>
    <font>
      <i/>
      <sz val="8"/>
      <color theme="1" tint="0.34998626667073579"/>
      <name val="Arial"/>
      <family val="2"/>
    </font>
    <font>
      <sz val="8"/>
      <color theme="1" tint="0.34998626667073579"/>
      <name val="Arial"/>
      <family val="2"/>
    </font>
    <font>
      <i/>
      <u/>
      <sz val="8"/>
      <color rgb="FF0000FF"/>
      <name val="Arial"/>
      <family val="2"/>
    </font>
    <font>
      <sz val="8"/>
      <color rgb="FFFF8000"/>
      <name val="Arial"/>
      <family val="2"/>
    </font>
  </fonts>
  <fills count="9">
    <fill>
      <patternFill patternType="none"/>
    </fill>
    <fill>
      <patternFill patternType="gray125"/>
    </fill>
    <fill>
      <patternFill patternType="solid">
        <fgColor theme="4"/>
        <bgColor indexed="64"/>
      </patternFill>
    </fill>
    <fill>
      <patternFill patternType="solid">
        <fgColor rgb="FF002060"/>
        <bgColor indexed="64"/>
      </patternFill>
    </fill>
    <fill>
      <patternFill patternType="solid">
        <fgColor rgb="FFFFF2CC"/>
        <bgColor indexed="64"/>
      </patternFill>
    </fill>
    <fill>
      <patternFill patternType="solid">
        <fgColor rgb="FFC9DAF8"/>
        <bgColor indexed="64"/>
      </patternFill>
    </fill>
    <fill>
      <patternFill patternType="solid">
        <fgColor theme="1"/>
        <bgColor indexed="64"/>
      </patternFill>
    </fill>
    <fill>
      <patternFill patternType="solid">
        <fgColor theme="0"/>
        <bgColor indexed="64"/>
      </patternFill>
    </fill>
    <fill>
      <patternFill patternType="solid">
        <fgColor theme="9" tint="0.79998168889431442"/>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16" fillId="0" borderId="0" applyNumberFormat="0" applyFill="0" applyBorder="0" applyAlignment="0" applyProtection="0"/>
  </cellStyleXfs>
  <cellXfs count="183">
    <xf numFmtId="0" fontId="0" fillId="0" borderId="0" xfId="0"/>
    <xf numFmtId="0" fontId="4" fillId="2" borderId="0" xfId="0" applyFont="1" applyFill="1" applyAlignment="1">
      <alignment horizontal="center"/>
    </xf>
    <xf numFmtId="0" fontId="3" fillId="0" borderId="0" xfId="0" applyFont="1" applyAlignment="1">
      <alignment horizontal="center"/>
    </xf>
    <xf numFmtId="0" fontId="3" fillId="0" borderId="6" xfId="0" applyFont="1" applyBorder="1" applyAlignment="1">
      <alignment horizontal="left"/>
    </xf>
    <xf numFmtId="9" fontId="7" fillId="0" borderId="7" xfId="0" applyNumberFormat="1" applyFont="1" applyBorder="1" applyAlignment="1">
      <alignment horizontal="right"/>
    </xf>
    <xf numFmtId="9" fontId="7" fillId="4" borderId="2" xfId="0" applyNumberFormat="1" applyFont="1" applyFill="1" applyBorder="1" applyAlignment="1">
      <alignment horizontal="center"/>
    </xf>
    <xf numFmtId="0" fontId="3" fillId="0" borderId="0" xfId="0" applyFont="1" applyAlignment="1">
      <alignment horizontal="right"/>
    </xf>
    <xf numFmtId="168" fontId="7" fillId="0" borderId="7" xfId="0" applyNumberFormat="1" applyFont="1" applyBorder="1" applyAlignment="1">
      <alignment horizontal="right"/>
    </xf>
    <xf numFmtId="0" fontId="15" fillId="0" borderId="10" xfId="0" applyFont="1" applyBorder="1" applyAlignment="1">
      <alignment horizontal="center"/>
    </xf>
    <xf numFmtId="0" fontId="3" fillId="0" borderId="0" xfId="0" applyFont="1" applyAlignment="1">
      <alignment horizontal="left"/>
    </xf>
    <xf numFmtId="164" fontId="7" fillId="4" borderId="2" xfId="0" applyNumberFormat="1" applyFont="1" applyFill="1" applyBorder="1" applyAlignment="1">
      <alignment horizontal="right"/>
    </xf>
    <xf numFmtId="0" fontId="7" fillId="4" borderId="2" xfId="0" applyFont="1" applyFill="1" applyBorder="1" applyAlignment="1">
      <alignment horizontal="right"/>
    </xf>
    <xf numFmtId="168" fontId="3" fillId="0" borderId="0" xfId="0" applyNumberFormat="1" applyFont="1" applyAlignment="1">
      <alignment horizontal="right"/>
    </xf>
    <xf numFmtId="9" fontId="8" fillId="0" borderId="7" xfId="1" applyFont="1" applyBorder="1" applyAlignment="1"/>
    <xf numFmtId="9" fontId="8" fillId="0" borderId="9" xfId="1" applyFont="1" applyBorder="1" applyAlignment="1"/>
    <xf numFmtId="9" fontId="3" fillId="7" borderId="12" xfId="1" applyFont="1" applyFill="1" applyBorder="1" applyAlignment="1"/>
    <xf numFmtId="0" fontId="15" fillId="0" borderId="12" xfId="0" applyFont="1" applyBorder="1" applyAlignment="1">
      <alignment horizontal="center"/>
    </xf>
    <xf numFmtId="171" fontId="7" fillId="0" borderId="7" xfId="0" applyNumberFormat="1" applyFont="1" applyBorder="1" applyAlignment="1">
      <alignment horizontal="right"/>
    </xf>
    <xf numFmtId="0" fontId="3" fillId="0" borderId="0" xfId="0" applyFont="1"/>
    <xf numFmtId="0" fontId="3" fillId="0" borderId="8" xfId="0" applyFont="1" applyBorder="1" applyAlignment="1">
      <alignment horizontal="left"/>
    </xf>
    <xf numFmtId="0" fontId="5" fillId="0" borderId="0" xfId="0" applyFont="1" applyAlignment="1">
      <alignment horizontal="left"/>
    </xf>
    <xf numFmtId="0" fontId="5" fillId="0" borderId="0" xfId="0" applyFont="1"/>
    <xf numFmtId="0" fontId="3" fillId="0" borderId="7" xfId="0" applyFont="1" applyBorder="1" applyAlignment="1">
      <alignment horizontal="right"/>
    </xf>
    <xf numFmtId="168" fontId="3" fillId="0" borderId="7" xfId="0" applyNumberFormat="1" applyFont="1" applyBorder="1"/>
    <xf numFmtId="0" fontId="5" fillId="0" borderId="0" xfId="0" applyFont="1" applyAlignment="1">
      <alignment horizontal="center"/>
    </xf>
    <xf numFmtId="164" fontId="3" fillId="0" borderId="0" xfId="0" applyNumberFormat="1" applyFont="1"/>
    <xf numFmtId="0" fontId="18" fillId="5" borderId="1" xfId="0" applyFont="1" applyFill="1" applyBorder="1" applyAlignment="1">
      <alignment horizontal="left"/>
    </xf>
    <xf numFmtId="0" fontId="2" fillId="2" borderId="0" xfId="0" applyFont="1" applyFill="1"/>
    <xf numFmtId="0" fontId="4" fillId="2" borderId="0" xfId="0" applyFont="1" applyFill="1"/>
    <xf numFmtId="0" fontId="15" fillId="0" borderId="11" xfId="0" applyFont="1" applyBorder="1"/>
    <xf numFmtId="0" fontId="9" fillId="3" borderId="3" xfId="0" applyFont="1" applyFill="1" applyBorder="1"/>
    <xf numFmtId="0" fontId="4" fillId="3" borderId="4" xfId="0" applyFont="1" applyFill="1" applyBorder="1"/>
    <xf numFmtId="0" fontId="4" fillId="3" borderId="5" xfId="0" applyFont="1" applyFill="1" applyBorder="1"/>
    <xf numFmtId="0" fontId="3" fillId="0" borderId="6" xfId="0" applyFont="1" applyBorder="1"/>
    <xf numFmtId="171" fontId="8" fillId="0" borderId="0" xfId="0" applyNumberFormat="1" applyFont="1"/>
    <xf numFmtId="167" fontId="8" fillId="0" borderId="0" xfId="0" applyNumberFormat="1" applyFont="1"/>
    <xf numFmtId="0" fontId="8" fillId="0" borderId="0" xfId="0" applyFont="1"/>
    <xf numFmtId="0" fontId="8" fillId="0" borderId="6" xfId="0" applyFont="1" applyBorder="1"/>
    <xf numFmtId="0" fontId="3" fillId="0" borderId="8" xfId="0" applyFont="1" applyBorder="1"/>
    <xf numFmtId="3" fontId="8" fillId="0" borderId="1" xfId="0" applyNumberFormat="1" applyFont="1" applyBorder="1"/>
    <xf numFmtId="167" fontId="8" fillId="0" borderId="1" xfId="0" applyNumberFormat="1" applyFont="1" applyBorder="1"/>
    <xf numFmtId="164" fontId="8" fillId="0" borderId="0" xfId="0" applyNumberFormat="1" applyFont="1"/>
    <xf numFmtId="165" fontId="8" fillId="0" borderId="0" xfId="0" applyNumberFormat="1" applyFont="1"/>
    <xf numFmtId="3" fontId="8" fillId="0" borderId="0" xfId="0" applyNumberFormat="1" applyFont="1"/>
    <xf numFmtId="166" fontId="8" fillId="0" borderId="0" xfId="0" applyNumberFormat="1" applyFont="1"/>
    <xf numFmtId="0" fontId="8" fillId="0" borderId="7" xfId="0" applyFont="1" applyBorder="1"/>
    <xf numFmtId="0" fontId="3" fillId="0" borderId="7" xfId="0" applyFont="1" applyBorder="1"/>
    <xf numFmtId="172" fontId="7" fillId="0" borderId="7" xfId="0" applyNumberFormat="1" applyFont="1" applyBorder="1"/>
    <xf numFmtId="0" fontId="3" fillId="7" borderId="10" xfId="0" applyFont="1" applyFill="1" applyBorder="1"/>
    <xf numFmtId="171" fontId="3" fillId="7" borderId="11" xfId="0" applyNumberFormat="1" applyFont="1" applyFill="1" applyBorder="1"/>
    <xf numFmtId="167" fontId="3" fillId="7" borderId="11" xfId="0" applyNumberFormat="1" applyFont="1" applyFill="1" applyBorder="1"/>
    <xf numFmtId="0" fontId="3" fillId="7" borderId="0" xfId="0" applyFont="1" applyFill="1"/>
    <xf numFmtId="0" fontId="3" fillId="0" borderId="1" xfId="0" applyFont="1" applyBorder="1"/>
    <xf numFmtId="0" fontId="9" fillId="6" borderId="0" xfId="0" applyFont="1" applyFill="1"/>
    <xf numFmtId="0" fontId="4" fillId="6" borderId="0" xfId="0" applyFont="1" applyFill="1"/>
    <xf numFmtId="0" fontId="3" fillId="6" borderId="0" xfId="0" applyFont="1" applyFill="1"/>
    <xf numFmtId="171" fontId="7" fillId="5" borderId="0" xfId="0" applyNumberFormat="1" applyFont="1" applyFill="1"/>
    <xf numFmtId="171" fontId="3" fillId="0" borderId="0" xfId="0" applyNumberFormat="1" applyFont="1"/>
    <xf numFmtId="0" fontId="5" fillId="5" borderId="0" xfId="0" applyFont="1" applyFill="1"/>
    <xf numFmtId="9" fontId="5" fillId="5" borderId="0" xfId="1" applyFont="1" applyFill="1" applyAlignment="1"/>
    <xf numFmtId="9" fontId="11" fillId="0" borderId="0" xfId="1" applyFont="1" applyAlignment="1"/>
    <xf numFmtId="9" fontId="7" fillId="0" borderId="0" xfId="1" applyFont="1" applyAlignment="1"/>
    <xf numFmtId="0" fontId="3" fillId="5" borderId="0" xfId="0" applyFont="1" applyFill="1"/>
    <xf numFmtId="171" fontId="12" fillId="0" borderId="0" xfId="1" applyNumberFormat="1" applyFont="1" applyAlignment="1"/>
    <xf numFmtId="164" fontId="8" fillId="0" borderId="0" xfId="1" applyNumberFormat="1" applyFont="1" applyAlignment="1"/>
    <xf numFmtId="0" fontId="3" fillId="0" borderId="4" xfId="0" applyFont="1" applyBorder="1"/>
    <xf numFmtId="9" fontId="5" fillId="5" borderId="4" xfId="1" applyFont="1" applyFill="1" applyBorder="1" applyAlignment="1"/>
    <xf numFmtId="171" fontId="8" fillId="0" borderId="4" xfId="1" applyNumberFormat="1" applyFont="1" applyBorder="1" applyAlignment="1"/>
    <xf numFmtId="172" fontId="8" fillId="0" borderId="0" xfId="1" applyNumberFormat="1" applyFont="1" applyAlignment="1"/>
    <xf numFmtId="0" fontId="3" fillId="0" borderId="0" xfId="0" quotePrefix="1" applyFont="1" applyAlignment="1">
      <alignment horizontal="left"/>
    </xf>
    <xf numFmtId="0" fontId="3" fillId="5" borderId="4" xfId="0" applyFont="1" applyFill="1" applyBorder="1"/>
    <xf numFmtId="172" fontId="3" fillId="0" borderId="4" xfId="0" applyNumberFormat="1" applyFont="1" applyBorder="1"/>
    <xf numFmtId="172" fontId="3" fillId="0" borderId="0" xfId="0" applyNumberFormat="1" applyFont="1"/>
    <xf numFmtId="170" fontId="3" fillId="0" borderId="0" xfId="0" applyNumberFormat="1" applyFont="1"/>
    <xf numFmtId="172" fontId="12" fillId="0" borderId="0" xfId="0" applyNumberFormat="1" applyFont="1"/>
    <xf numFmtId="0" fontId="14" fillId="0" borderId="0" xfId="0" applyFont="1"/>
    <xf numFmtId="0" fontId="6" fillId="0" borderId="0" xfId="0" applyFont="1"/>
    <xf numFmtId="173" fontId="3" fillId="0" borderId="0" xfId="0" applyNumberFormat="1" applyFont="1"/>
    <xf numFmtId="164" fontId="12" fillId="0" borderId="0" xfId="0" applyNumberFormat="1" applyFont="1"/>
    <xf numFmtId="173" fontId="8" fillId="0" borderId="0" xfId="0" applyNumberFormat="1" applyFont="1"/>
    <xf numFmtId="9" fontId="7" fillId="0" borderId="0" xfId="0" applyNumberFormat="1" applyFont="1"/>
    <xf numFmtId="0" fontId="13" fillId="0" borderId="0" xfId="0" applyFont="1"/>
    <xf numFmtId="9" fontId="7" fillId="4" borderId="13" xfId="0" applyNumberFormat="1" applyFont="1" applyFill="1" applyBorder="1"/>
    <xf numFmtId="9" fontId="7" fillId="4" borderId="2" xfId="0" applyNumberFormat="1" applyFont="1" applyFill="1" applyBorder="1"/>
    <xf numFmtId="172" fontId="7" fillId="4" borderId="2" xfId="0" applyNumberFormat="1" applyFont="1" applyFill="1" applyBorder="1"/>
    <xf numFmtId="9" fontId="3" fillId="0" borderId="0" xfId="1" applyFont="1" applyAlignment="1"/>
    <xf numFmtId="9" fontId="3" fillId="0" borderId="0" xfId="0" applyNumberFormat="1" applyFont="1"/>
    <xf numFmtId="9" fontId="3" fillId="0" borderId="4" xfId="0" applyNumberFormat="1" applyFont="1" applyBorder="1"/>
    <xf numFmtId="169" fontId="3" fillId="0" borderId="0" xfId="0" applyNumberFormat="1" applyFont="1"/>
    <xf numFmtId="2" fontId="3" fillId="0" borderId="0" xfId="0" applyNumberFormat="1" applyFont="1"/>
    <xf numFmtId="0" fontId="17" fillId="0" borderId="0" xfId="0" applyFont="1"/>
    <xf numFmtId="172" fontId="3" fillId="0" borderId="7" xfId="0" applyNumberFormat="1" applyFont="1" applyBorder="1"/>
    <xf numFmtId="3" fontId="3" fillId="0" borderId="0" xfId="0" applyNumberFormat="1" applyFont="1"/>
    <xf numFmtId="164" fontId="14" fillId="0" borderId="0" xfId="0" applyNumberFormat="1" applyFont="1"/>
    <xf numFmtId="0" fontId="18" fillId="5" borderId="3" xfId="0" applyFont="1" applyFill="1" applyBorder="1"/>
    <xf numFmtId="164" fontId="3" fillId="5" borderId="4" xfId="0" applyNumberFormat="1" applyFont="1" applyFill="1" applyBorder="1"/>
    <xf numFmtId="0" fontId="3" fillId="5" borderId="6" xfId="0" applyFont="1" applyFill="1" applyBorder="1"/>
    <xf numFmtId="0" fontId="3" fillId="5" borderId="7" xfId="0" applyFont="1" applyFill="1" applyBorder="1"/>
    <xf numFmtId="0" fontId="18" fillId="5" borderId="0" xfId="0" applyFont="1" applyFill="1"/>
    <xf numFmtId="9" fontId="3" fillId="5" borderId="7" xfId="0" applyNumberFormat="1" applyFont="1" applyFill="1" applyBorder="1"/>
    <xf numFmtId="167" fontId="3" fillId="5" borderId="7" xfId="0" applyNumberFormat="1" applyFont="1" applyFill="1" applyBorder="1"/>
    <xf numFmtId="0" fontId="3" fillId="5" borderId="8" xfId="0" applyFont="1" applyFill="1" applyBorder="1"/>
    <xf numFmtId="0" fontId="3" fillId="5" borderId="1" xfId="0" applyFont="1" applyFill="1" applyBorder="1"/>
    <xf numFmtId="172" fontId="3" fillId="5" borderId="9" xfId="0" applyNumberFormat="1" applyFont="1" applyFill="1" applyBorder="1"/>
    <xf numFmtId="172" fontId="7" fillId="0" borderId="9" xfId="0" applyNumberFormat="1" applyFont="1" applyBorder="1"/>
    <xf numFmtId="168" fontId="7" fillId="4" borderId="2" xfId="0" applyNumberFormat="1" applyFont="1" applyFill="1" applyBorder="1" applyAlignment="1">
      <alignment horizontal="right"/>
    </xf>
    <xf numFmtId="173" fontId="3" fillId="5" borderId="4" xfId="0" applyNumberFormat="1" applyFont="1" applyFill="1" applyBorder="1"/>
    <xf numFmtId="173" fontId="3" fillId="5" borderId="5" xfId="0" applyNumberFormat="1" applyFont="1" applyFill="1" applyBorder="1"/>
    <xf numFmtId="0" fontId="3" fillId="5" borderId="4" xfId="0" applyFont="1" applyFill="1" applyBorder="1" applyAlignment="1">
      <alignment horizontal="center"/>
    </xf>
    <xf numFmtId="0" fontId="3" fillId="5" borderId="5" xfId="0" applyFont="1" applyFill="1" applyBorder="1"/>
    <xf numFmtId="0" fontId="3" fillId="5" borderId="0" xfId="0" applyFont="1" applyFill="1" applyAlignment="1">
      <alignment horizontal="center"/>
    </xf>
    <xf numFmtId="0" fontId="3" fillId="5" borderId="1" xfId="0" applyFont="1" applyFill="1" applyBorder="1" applyAlignment="1">
      <alignment horizontal="center"/>
    </xf>
    <xf numFmtId="0" fontId="3" fillId="5" borderId="9" xfId="0" applyFont="1" applyFill="1" applyBorder="1"/>
    <xf numFmtId="0" fontId="10" fillId="5" borderId="3" xfId="0" applyFont="1" applyFill="1" applyBorder="1"/>
    <xf numFmtId="0" fontId="3" fillId="5" borderId="6" xfId="0" quotePrefix="1" applyFont="1" applyFill="1" applyBorder="1"/>
    <xf numFmtId="0" fontId="5" fillId="5" borderId="6" xfId="0" quotePrefix="1" applyFont="1" applyFill="1" applyBorder="1"/>
    <xf numFmtId="0" fontId="3" fillId="5" borderId="8" xfId="0" quotePrefix="1" applyFont="1" applyFill="1" applyBorder="1"/>
    <xf numFmtId="169" fontId="3" fillId="0" borderId="0" xfId="0" applyNumberFormat="1" applyFont="1" applyAlignment="1">
      <alignment horizontal="center"/>
    </xf>
    <xf numFmtId="169" fontId="12" fillId="0" borderId="0" xfId="0" applyNumberFormat="1" applyFont="1" applyAlignment="1">
      <alignment horizontal="center"/>
    </xf>
    <xf numFmtId="0" fontId="19" fillId="0" borderId="0" xfId="0" applyFont="1"/>
    <xf numFmtId="0" fontId="3" fillId="0" borderId="10" xfId="0" applyFont="1" applyBorder="1"/>
    <xf numFmtId="0" fontId="10" fillId="0" borderId="6" xfId="0" applyFont="1" applyBorder="1"/>
    <xf numFmtId="0" fontId="10" fillId="0" borderId="0" xfId="0" applyFont="1" applyAlignment="1">
      <alignment horizontal="right"/>
    </xf>
    <xf numFmtId="0" fontId="10" fillId="0" borderId="7" xfId="0" applyFont="1" applyBorder="1" applyAlignment="1">
      <alignment horizontal="right"/>
    </xf>
    <xf numFmtId="166" fontId="20" fillId="0" borderId="0" xfId="0" applyNumberFormat="1" applyFont="1" applyAlignment="1">
      <alignment horizontal="right"/>
    </xf>
    <xf numFmtId="171" fontId="3" fillId="0" borderId="11" xfId="0" applyNumberFormat="1" applyFont="1" applyBorder="1"/>
    <xf numFmtId="169" fontId="7" fillId="0" borderId="7" xfId="0" applyNumberFormat="1" applyFont="1" applyBorder="1" applyAlignment="1">
      <alignment horizontal="right"/>
    </xf>
    <xf numFmtId="169" fontId="8" fillId="0" borderId="7" xfId="0" applyNumberFormat="1" applyFont="1" applyBorder="1"/>
    <xf numFmtId="173" fontId="8" fillId="0" borderId="12" xfId="0" applyNumberFormat="1" applyFont="1" applyBorder="1"/>
    <xf numFmtId="169" fontId="8" fillId="0" borderId="12" xfId="0" applyNumberFormat="1" applyFont="1" applyBorder="1"/>
    <xf numFmtId="169" fontId="8" fillId="0" borderId="0" xfId="0" applyNumberFormat="1" applyFont="1"/>
    <xf numFmtId="169" fontId="3" fillId="0" borderId="11" xfId="0" applyNumberFormat="1" applyFont="1" applyBorder="1"/>
    <xf numFmtId="9" fontId="5" fillId="5" borderId="0" xfId="1" applyFont="1" applyFill="1" applyBorder="1" applyAlignment="1"/>
    <xf numFmtId="9" fontId="21" fillId="5" borderId="1" xfId="0" applyNumberFormat="1" applyFont="1" applyFill="1" applyBorder="1" applyAlignment="1">
      <alignment horizontal="center"/>
    </xf>
    <xf numFmtId="0" fontId="8" fillId="5" borderId="0" xfId="0" applyFont="1" applyFill="1"/>
    <xf numFmtId="172" fontId="8" fillId="0" borderId="0" xfId="0" applyNumberFormat="1" applyFont="1"/>
    <xf numFmtId="0" fontId="3" fillId="0" borderId="0" xfId="0" quotePrefix="1" applyFont="1"/>
    <xf numFmtId="9" fontId="7" fillId="7" borderId="0" xfId="0" applyNumberFormat="1" applyFont="1" applyFill="1"/>
    <xf numFmtId="0" fontId="8" fillId="0" borderId="10" xfId="0" applyFont="1" applyBorder="1"/>
    <xf numFmtId="0" fontId="14" fillId="0" borderId="11" xfId="0" applyFont="1" applyBorder="1"/>
    <xf numFmtId="164" fontId="14" fillId="0" borderId="11" xfId="0" applyNumberFormat="1" applyFont="1" applyBorder="1"/>
    <xf numFmtId="7" fontId="3" fillId="0" borderId="0" xfId="0" applyNumberFormat="1" applyFont="1"/>
    <xf numFmtId="164" fontId="3" fillId="0" borderId="0" xfId="0" applyNumberFormat="1" applyFont="1" applyAlignment="1">
      <alignment horizontal="center"/>
    </xf>
    <xf numFmtId="0" fontId="8" fillId="0" borderId="0" xfId="0" quotePrefix="1" applyFont="1"/>
    <xf numFmtId="0" fontId="22" fillId="0" borderId="0" xfId="0" applyFont="1"/>
    <xf numFmtId="0" fontId="23" fillId="0" borderId="0" xfId="0" applyFont="1"/>
    <xf numFmtId="0" fontId="23" fillId="0" borderId="0" xfId="0" applyFont="1" applyAlignment="1">
      <alignment horizontal="center"/>
    </xf>
    <xf numFmtId="0" fontId="22" fillId="0" borderId="0" xfId="0" applyFont="1" applyAlignment="1">
      <alignment horizontal="left"/>
    </xf>
    <xf numFmtId="9" fontId="22" fillId="0" borderId="0" xfId="1" applyFont="1" applyAlignment="1"/>
    <xf numFmtId="0" fontId="24" fillId="0" borderId="0" xfId="2" applyFont="1" applyAlignment="1"/>
    <xf numFmtId="0" fontId="24" fillId="0" borderId="0" xfId="2" applyFont="1" applyAlignment="1">
      <alignment horizontal="left"/>
    </xf>
    <xf numFmtId="0" fontId="24" fillId="7" borderId="0" xfId="2" applyFont="1" applyFill="1"/>
    <xf numFmtId="0" fontId="18" fillId="8" borderId="2" xfId="0" applyFont="1" applyFill="1" applyBorder="1" applyAlignment="1">
      <alignment horizontal="center"/>
    </xf>
    <xf numFmtId="0" fontId="15" fillId="7" borderId="0" xfId="0" applyFont="1" applyFill="1" applyAlignment="1">
      <alignment horizontal="left"/>
    </xf>
    <xf numFmtId="174" fontId="10" fillId="5" borderId="0" xfId="0" applyNumberFormat="1" applyFont="1" applyFill="1"/>
    <xf numFmtId="174" fontId="10" fillId="0" borderId="0" xfId="0" applyNumberFormat="1" applyFont="1"/>
    <xf numFmtId="0" fontId="10" fillId="0" borderId="0" xfId="0" applyFont="1" applyAlignment="1">
      <alignment horizontal="center"/>
    </xf>
    <xf numFmtId="175" fontId="7" fillId="0" borderId="7" xfId="0" applyNumberFormat="1" applyFont="1" applyBorder="1" applyAlignment="1">
      <alignment horizontal="right"/>
    </xf>
    <xf numFmtId="176" fontId="3" fillId="0" borderId="0" xfId="0" applyNumberFormat="1" applyFont="1"/>
    <xf numFmtId="177" fontId="3" fillId="0" borderId="0" xfId="0" applyNumberFormat="1" applyFont="1"/>
    <xf numFmtId="178" fontId="3" fillId="0" borderId="0" xfId="0" applyNumberFormat="1" applyFont="1"/>
    <xf numFmtId="179" fontId="3" fillId="0" borderId="0" xfId="0" applyNumberFormat="1" applyFont="1"/>
    <xf numFmtId="173" fontId="3" fillId="0" borderId="5" xfId="0" applyNumberFormat="1" applyFont="1" applyBorder="1"/>
    <xf numFmtId="173" fontId="8" fillId="0" borderId="4" xfId="1" applyNumberFormat="1" applyFont="1" applyBorder="1" applyAlignment="1"/>
    <xf numFmtId="173" fontId="11" fillId="0" borderId="0" xfId="1" applyNumberFormat="1" applyFont="1" applyAlignment="1"/>
    <xf numFmtId="173" fontId="8" fillId="0" borderId="0" xfId="1" applyNumberFormat="1" applyFont="1" applyAlignment="1"/>
    <xf numFmtId="173" fontId="12" fillId="0" borderId="0" xfId="1" applyNumberFormat="1" applyFont="1" applyAlignment="1"/>
    <xf numFmtId="180" fontId="3" fillId="0" borderId="0" xfId="0" applyNumberFormat="1" applyFont="1" applyAlignment="1">
      <alignment horizontal="center"/>
    </xf>
    <xf numFmtId="173" fontId="7" fillId="5" borderId="0" xfId="0" applyNumberFormat="1" applyFont="1" applyFill="1"/>
    <xf numFmtId="177" fontId="5" fillId="5" borderId="0" xfId="0" applyNumberFormat="1" applyFont="1" applyFill="1"/>
    <xf numFmtId="173" fontId="12" fillId="7" borderId="0" xfId="0" applyNumberFormat="1" applyFont="1" applyFill="1"/>
    <xf numFmtId="177" fontId="5" fillId="0" borderId="0" xfId="0" applyNumberFormat="1" applyFont="1"/>
    <xf numFmtId="168" fontId="3" fillId="0" borderId="0" xfId="0" applyNumberFormat="1" applyFont="1"/>
    <xf numFmtId="0" fontId="25" fillId="0" borderId="0" xfId="0" applyFont="1"/>
    <xf numFmtId="7" fontId="23" fillId="0" borderId="0" xfId="0" applyNumberFormat="1" applyFont="1"/>
    <xf numFmtId="164" fontId="3" fillId="0" borderId="0" xfId="0" applyNumberFormat="1" applyFont="1" applyAlignment="1">
      <alignment horizontal="right"/>
    </xf>
    <xf numFmtId="9" fontId="3" fillId="0" borderId="0" xfId="0" applyNumberFormat="1" applyFont="1" applyAlignment="1">
      <alignment horizontal="right"/>
    </xf>
    <xf numFmtId="164" fontId="3" fillId="0" borderId="4" xfId="0" applyNumberFormat="1" applyFont="1" applyBorder="1" applyAlignment="1">
      <alignment horizontal="right"/>
    </xf>
    <xf numFmtId="177" fontId="3" fillId="0" borderId="4" xfId="0" applyNumberFormat="1" applyFont="1" applyBorder="1" applyAlignment="1">
      <alignment horizontal="right"/>
    </xf>
    <xf numFmtId="0" fontId="6" fillId="0" borderId="0" xfId="0" applyFont="1" applyAlignment="1">
      <alignment horizontal="right"/>
    </xf>
    <xf numFmtId="181" fontId="3" fillId="0" borderId="0" xfId="0" applyNumberFormat="1" applyFont="1" applyAlignment="1">
      <alignment horizontal="center"/>
    </xf>
    <xf numFmtId="177" fontId="11" fillId="0" borderId="0" xfId="0" applyNumberFormat="1" applyFont="1"/>
    <xf numFmtId="0" fontId="9" fillId="3" borderId="0" xfId="0" applyFont="1" applyFill="1" applyAlignment="1">
      <alignment horizontal="center"/>
    </xf>
  </cellXfs>
  <cellStyles count="3">
    <cellStyle name="Hyperlink" xfId="2" builtinId="8"/>
    <cellStyle name="Normal" xfId="0" builtinId="0"/>
    <cellStyle name="Percent" xfId="1" builtinId="5"/>
  </cellStyles>
  <dxfs count="6">
    <dxf>
      <font>
        <b val="0"/>
        <i/>
        <color theme="1" tint="0.499984740745262"/>
      </font>
      <fill>
        <patternFill patternType="gray0625">
          <bgColor theme="1" tint="0.499984740745262"/>
        </patternFill>
      </fill>
    </dxf>
    <dxf>
      <font>
        <b val="0"/>
        <i/>
        <color theme="1" tint="0.499984740745262"/>
      </font>
      <fill>
        <patternFill patternType="gray0625">
          <bgColor theme="1" tint="0.499984740745262"/>
        </patternFill>
      </fill>
    </dxf>
    <dxf>
      <font>
        <b val="0"/>
        <i/>
        <color theme="1" tint="0.499984740745262"/>
      </font>
      <fill>
        <patternFill patternType="gray0625">
          <bgColor theme="1" tint="0.499984740745262"/>
        </patternFill>
      </fill>
    </dxf>
    <dxf>
      <font>
        <b val="0"/>
        <i/>
        <color theme="1" tint="0.499984740745262"/>
      </font>
      <fill>
        <patternFill patternType="gray0625">
          <bgColor theme="1" tint="0.499984740745262"/>
        </patternFill>
      </fill>
    </dxf>
    <dxf>
      <font>
        <b val="0"/>
        <i/>
        <color theme="1" tint="0.499984740745262"/>
      </font>
      <fill>
        <patternFill patternType="gray0625">
          <bgColor theme="1" tint="0.499984740745262"/>
        </patternFill>
      </fill>
    </dxf>
    <dxf>
      <font>
        <b val="0"/>
        <i/>
        <color theme="1" tint="0.499984740745262"/>
      </font>
      <fill>
        <patternFill patternType="gray0625">
          <bgColor theme="1" tint="0.499984740745262"/>
        </patternFill>
      </fill>
    </dxf>
  </dxfs>
  <tableStyles count="0" defaultTableStyle="TableStyleMedium2" defaultPivotStyle="PivotStyleLight16"/>
  <colors>
    <mruColors>
      <color rgb="FF0000FF"/>
      <color rgb="FFC9DAF8"/>
      <color rgb="FFFDFD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hklaw.com/en/insights/publications/2025/07/one-big-beautiful-bill-act-increases-tax-benefits-for-qualified-small" TargetMode="External"/><Relationship Id="rId2" Type="http://schemas.openxmlformats.org/officeDocument/2006/relationships/hyperlink" Target="https://som.yale.edu/sites/default/files/2025-06/Expanding%20EBITDA%20Margins%20in%20an%20ETA%20Business%20Don%E2%80%99t%20Expect%20It%2C%20but%20Don%E2%80%99t%20Lose%20Hope%2C%20Either.pdf" TargetMode="External"/><Relationship Id="rId1" Type="http://schemas.openxmlformats.org/officeDocument/2006/relationships/hyperlink" Target="https://www.gsb.stanford.edu/faculty-research/case-studies/2024-search-fund-study"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hklaw.com/en/insights/publications/2025/07/one-big-beautiful-bill-act-increases-tax-benefits-for-qualified-small" TargetMode="External"/><Relationship Id="rId2" Type="http://schemas.openxmlformats.org/officeDocument/2006/relationships/hyperlink" Target="https://som.yale.edu/sites/default/files/2025-06/Expanding%20EBITDA%20Margins%20in%20an%20ETA%20Business%20Don%E2%80%99t%20Expect%20It%2C%20but%20Don%E2%80%99t%20Lose%20Hope%2C%20Either.pdf" TargetMode="External"/><Relationship Id="rId1" Type="http://schemas.openxmlformats.org/officeDocument/2006/relationships/hyperlink" Target="https://www.gsb.stanford.edu/faculty-research/case-studies/2024-search-fund-study"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hklaw.com/en/insights/publications/2025/07/one-big-beautiful-bill-act-increases-tax-benefits-for-qualified-small" TargetMode="External"/><Relationship Id="rId2" Type="http://schemas.openxmlformats.org/officeDocument/2006/relationships/hyperlink" Target="https://som.yale.edu/sites/default/files/2025-06/Expanding%20EBITDA%20Margins%20in%20an%20ETA%20Business%20Don%E2%80%99t%20Expect%20It%2C%20but%20Don%E2%80%99t%20Lose%20Hope%2C%20Either.pdf" TargetMode="External"/><Relationship Id="rId1" Type="http://schemas.openxmlformats.org/officeDocument/2006/relationships/hyperlink" Target="https://www.gsb.stanford.edu/faculty-research/case-studies/2024-search-fund-study"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B0908-72C8-469F-BCA7-729C3796DA16}">
  <dimension ref="A1:XFD149"/>
  <sheetViews>
    <sheetView showGridLines="0" zoomScale="140" zoomScaleNormal="140" zoomScaleSheetLayoutView="69" workbookViewId="0">
      <selection activeCell="B3" sqref="B3"/>
    </sheetView>
  </sheetViews>
  <sheetFormatPr baseColWidth="10" defaultColWidth="8.6640625" defaultRowHeight="11" x14ac:dyDescent="0.15"/>
  <cols>
    <col min="1" max="1" width="2.6640625" style="6" customWidth="1"/>
    <col min="2" max="2" width="25.6640625" style="18" customWidth="1"/>
    <col min="3" max="10" width="8.6640625" style="18" customWidth="1"/>
    <col min="11" max="11" width="2.6640625" style="18" customWidth="1"/>
    <col min="12" max="12" width="8.6640625" style="2" customWidth="1"/>
    <col min="13" max="21" width="8.6640625" style="18" customWidth="1"/>
    <col min="22" max="16384" width="8.6640625" style="18"/>
  </cols>
  <sheetData>
    <row r="1" spans="1:22" x14ac:dyDescent="0.15">
      <c r="A1" s="18"/>
    </row>
    <row r="2" spans="1:22" ht="25" x14ac:dyDescent="0.25">
      <c r="A2" s="6" t="s">
        <v>4</v>
      </c>
      <c r="B2" s="27" t="s">
        <v>156</v>
      </c>
      <c r="C2" s="28"/>
      <c r="D2" s="28"/>
      <c r="E2" s="28"/>
      <c r="F2" s="28"/>
      <c r="G2" s="28"/>
      <c r="H2" s="28"/>
      <c r="I2" s="28"/>
      <c r="J2" s="28"/>
      <c r="K2" s="28"/>
      <c r="L2" s="1"/>
      <c r="M2" s="28"/>
      <c r="N2" s="28"/>
      <c r="O2" s="28"/>
      <c r="P2" s="28"/>
      <c r="Q2" s="28"/>
      <c r="R2" s="28"/>
      <c r="S2" s="28"/>
    </row>
    <row r="3" spans="1:22" ht="6.5" customHeight="1" x14ac:dyDescent="0.15"/>
    <row r="4" spans="1:22" ht="10.5" customHeight="1" x14ac:dyDescent="0.15">
      <c r="B4" s="113" t="s">
        <v>86</v>
      </c>
      <c r="C4" s="70"/>
      <c r="D4" s="70"/>
      <c r="E4" s="70"/>
      <c r="F4" s="70"/>
      <c r="G4" s="70"/>
      <c r="H4" s="70"/>
      <c r="I4" s="70"/>
      <c r="J4" s="70"/>
      <c r="K4" s="70"/>
      <c r="L4" s="108"/>
      <c r="M4" s="70"/>
      <c r="N4" s="70"/>
      <c r="O4" s="70"/>
      <c r="P4" s="70"/>
      <c r="Q4" s="70"/>
      <c r="R4" s="70"/>
      <c r="S4" s="109"/>
    </row>
    <row r="5" spans="1:22" ht="10.5" customHeight="1" x14ac:dyDescent="0.15">
      <c r="B5" s="115" t="s">
        <v>139</v>
      </c>
      <c r="C5" s="62"/>
      <c r="D5" s="62"/>
      <c r="E5" s="62"/>
      <c r="F5" s="62"/>
      <c r="G5" s="62"/>
      <c r="H5" s="62"/>
      <c r="I5" s="62"/>
      <c r="J5" s="62"/>
      <c r="K5" s="62"/>
      <c r="L5" s="110"/>
      <c r="M5" s="62"/>
      <c r="N5" s="62"/>
      <c r="O5" s="62"/>
      <c r="P5" s="62"/>
      <c r="Q5" s="62"/>
      <c r="R5" s="62"/>
      <c r="S5" s="97"/>
      <c r="V5" s="119"/>
    </row>
    <row r="6" spans="1:22" ht="10.5" customHeight="1" x14ac:dyDescent="0.15">
      <c r="B6" s="115" t="s">
        <v>138</v>
      </c>
      <c r="C6" s="62"/>
      <c r="D6" s="62"/>
      <c r="E6" s="62"/>
      <c r="F6" s="62"/>
      <c r="G6" s="62"/>
      <c r="H6" s="62"/>
      <c r="I6" s="62"/>
      <c r="J6" s="62"/>
      <c r="K6" s="62"/>
      <c r="L6" s="110"/>
      <c r="M6" s="62"/>
      <c r="N6" s="62"/>
      <c r="O6" s="62"/>
      <c r="P6" s="62"/>
      <c r="Q6" s="62"/>
      <c r="R6" s="62"/>
      <c r="S6" s="97"/>
    </row>
    <row r="7" spans="1:22" ht="10.5" customHeight="1" x14ac:dyDescent="0.15">
      <c r="B7" s="115" t="s">
        <v>90</v>
      </c>
      <c r="C7" s="62"/>
      <c r="D7" s="62"/>
      <c r="E7" s="62"/>
      <c r="F7" s="62"/>
      <c r="G7" s="62"/>
      <c r="H7" s="62"/>
      <c r="I7" s="62"/>
      <c r="J7" s="62"/>
      <c r="K7" s="62"/>
      <c r="L7" s="110"/>
      <c r="M7" s="62"/>
      <c r="N7" s="62"/>
      <c r="O7" s="62"/>
      <c r="P7" s="62"/>
      <c r="Q7" s="62"/>
      <c r="R7" s="62"/>
      <c r="S7" s="97"/>
    </row>
    <row r="8" spans="1:22" ht="10.5" customHeight="1" x14ac:dyDescent="0.15">
      <c r="B8" s="114" t="s">
        <v>87</v>
      </c>
      <c r="C8" s="62"/>
      <c r="D8" s="62"/>
      <c r="E8" s="62"/>
      <c r="F8" s="62"/>
      <c r="G8" s="62"/>
      <c r="H8" s="62"/>
      <c r="I8" s="62"/>
      <c r="J8" s="62"/>
      <c r="K8" s="62"/>
      <c r="L8" s="110"/>
      <c r="M8" s="62"/>
      <c r="N8" s="62"/>
      <c r="O8" s="62"/>
      <c r="P8" s="62"/>
      <c r="Q8" s="62"/>
      <c r="R8" s="62"/>
      <c r="S8" s="97"/>
    </row>
    <row r="9" spans="1:22" ht="10.5" customHeight="1" x14ac:dyDescent="0.15">
      <c r="B9" s="115" t="s">
        <v>115</v>
      </c>
      <c r="C9" s="62"/>
      <c r="D9" s="62"/>
      <c r="E9" s="62"/>
      <c r="F9" s="62"/>
      <c r="G9" s="62"/>
      <c r="H9" s="62"/>
      <c r="I9" s="62"/>
      <c r="J9" s="62"/>
      <c r="K9" s="62"/>
      <c r="L9" s="110"/>
      <c r="M9" s="62"/>
      <c r="N9" s="62"/>
      <c r="O9" s="62"/>
      <c r="P9" s="62"/>
      <c r="Q9" s="62"/>
      <c r="R9" s="62"/>
      <c r="S9" s="97"/>
    </row>
    <row r="10" spans="1:22" ht="10.5" customHeight="1" x14ac:dyDescent="0.15">
      <c r="B10" s="116" t="s">
        <v>88</v>
      </c>
      <c r="C10" s="102"/>
      <c r="D10" s="102"/>
      <c r="E10" s="102"/>
      <c r="F10" s="102"/>
      <c r="G10" s="102"/>
      <c r="H10" s="102"/>
      <c r="I10" s="102"/>
      <c r="J10" s="102"/>
      <c r="K10" s="102"/>
      <c r="L10" s="111"/>
      <c r="M10" s="102"/>
      <c r="N10" s="102"/>
      <c r="O10" s="102"/>
      <c r="P10" s="102"/>
      <c r="Q10" s="102"/>
      <c r="R10" s="102"/>
      <c r="S10" s="112"/>
    </row>
    <row r="11" spans="1:22" ht="6.5" customHeight="1" x14ac:dyDescent="0.15"/>
    <row r="12" spans="1:22" x14ac:dyDescent="0.15">
      <c r="B12" s="21" t="s">
        <v>5</v>
      </c>
      <c r="L12" s="8" t="s">
        <v>44</v>
      </c>
      <c r="M12" s="29"/>
      <c r="N12" s="16" t="str">
        <f>IF(SUM(F67:J67)&gt;0,"Cash Shortfall","OK")</f>
        <v>OK</v>
      </c>
      <c r="O12" s="144" t="s">
        <v>89</v>
      </c>
    </row>
    <row r="13" spans="1:22" ht="6.5" customHeight="1" x14ac:dyDescent="0.15">
      <c r="O13" s="145"/>
    </row>
    <row r="14" spans="1:22" ht="10.5" customHeight="1" x14ac:dyDescent="0.15">
      <c r="A14" s="6" t="s">
        <v>4</v>
      </c>
      <c r="B14" s="30" t="s">
        <v>6</v>
      </c>
      <c r="C14" s="31"/>
      <c r="D14" s="31"/>
      <c r="E14" s="32"/>
      <c r="G14" s="30" t="s">
        <v>7</v>
      </c>
      <c r="H14" s="31"/>
      <c r="I14" s="31"/>
      <c r="J14" s="32"/>
      <c r="L14" s="30" t="s">
        <v>39</v>
      </c>
      <c r="M14" s="31"/>
      <c r="N14" s="32"/>
      <c r="O14" s="145"/>
    </row>
    <row r="15" spans="1:22" x14ac:dyDescent="0.15">
      <c r="B15" s="33"/>
      <c r="C15" s="122" t="s">
        <v>10</v>
      </c>
      <c r="D15" s="122" t="str">
        <f>CONCATENATE("x",$N$16)</f>
        <v>xEBITDA</v>
      </c>
      <c r="E15" s="123" t="s">
        <v>11</v>
      </c>
      <c r="G15" s="33"/>
      <c r="H15" s="122" t="s">
        <v>10</v>
      </c>
      <c r="I15" s="122" t="str">
        <f>CONCATENATE("x",$N$16)</f>
        <v>xEBITDA</v>
      </c>
      <c r="J15" s="123" t="s">
        <v>11</v>
      </c>
      <c r="L15" s="3" t="s">
        <v>3</v>
      </c>
      <c r="N15" s="17">
        <v>8500</v>
      </c>
      <c r="O15" s="144" t="s">
        <v>85</v>
      </c>
    </row>
    <row r="16" spans="1:22" x14ac:dyDescent="0.15">
      <c r="B16" s="33" t="s">
        <v>8</v>
      </c>
      <c r="C16" s="34">
        <f>D16*N17</f>
        <v>3140</v>
      </c>
      <c r="D16" s="35">
        <f>N20</f>
        <v>2.5</v>
      </c>
      <c r="E16" s="13">
        <f>C16/C25</f>
        <v>0.3441095890410959</v>
      </c>
      <c r="F16" s="36"/>
      <c r="G16" s="37" t="s">
        <v>3</v>
      </c>
      <c r="H16" s="34">
        <f>N15</f>
        <v>8500</v>
      </c>
      <c r="I16" s="35">
        <f>H16/$N$17</f>
        <v>6.7675159235668794</v>
      </c>
      <c r="J16" s="13">
        <f>H16/$H$25</f>
        <v>0.93150684931506844</v>
      </c>
      <c r="L16" s="3" t="s">
        <v>49</v>
      </c>
      <c r="N16" s="11" t="s">
        <v>1</v>
      </c>
    </row>
    <row r="17" spans="1:23" x14ac:dyDescent="0.15">
      <c r="B17" s="38" t="s">
        <v>0</v>
      </c>
      <c r="C17" s="39">
        <f>N21</f>
        <v>1000</v>
      </c>
      <c r="D17" s="40">
        <f>C17/$N$17</f>
        <v>0.79617834394904463</v>
      </c>
      <c r="E17" s="14">
        <f>C17/C25</f>
        <v>0.1095890410958904</v>
      </c>
      <c r="F17" s="36"/>
      <c r="G17" s="37" t="s">
        <v>98</v>
      </c>
      <c r="H17" s="36">
        <f>H16*N19</f>
        <v>425</v>
      </c>
      <c r="I17" s="35">
        <f>H17/$N$17</f>
        <v>0.33837579617834396</v>
      </c>
      <c r="J17" s="13">
        <f>H17/$H$25</f>
        <v>4.6575342465753428E-2</v>
      </c>
      <c r="L17" s="3" t="str">
        <f>IF(N16="ARR","Ending ARR","LTM EBITDA")</f>
        <v>LTM EBITDA</v>
      </c>
      <c r="N17" s="162">
        <f>IF(N16="ARR",E34,E40)</f>
        <v>1256</v>
      </c>
    </row>
    <row r="18" spans="1:23" x14ac:dyDescent="0.15">
      <c r="B18" s="33" t="s">
        <v>33</v>
      </c>
      <c r="C18" s="34">
        <f>SUM(C16:C17)</f>
        <v>4140</v>
      </c>
      <c r="D18" s="35">
        <f>C18/$N$17</f>
        <v>3.2961783439490446</v>
      </c>
      <c r="E18" s="13">
        <f>C18/$C$25</f>
        <v>0.4536986301369863</v>
      </c>
      <c r="F18" s="36"/>
      <c r="G18" s="37" t="s">
        <v>37</v>
      </c>
      <c r="H18" s="41">
        <f>N22</f>
        <v>200</v>
      </c>
      <c r="I18" s="35">
        <f>H18/$N$17</f>
        <v>0.15923566878980891</v>
      </c>
      <c r="J18" s="13">
        <f>H18/$H$25</f>
        <v>2.1917808219178082E-2</v>
      </c>
      <c r="L18" s="3" t="s">
        <v>127</v>
      </c>
      <c r="N18" s="157">
        <v>46022</v>
      </c>
      <c r="O18" s="149" t="s">
        <v>76</v>
      </c>
    </row>
    <row r="19" spans="1:23" x14ac:dyDescent="0.15">
      <c r="B19" s="33"/>
      <c r="C19" s="43"/>
      <c r="D19" s="44"/>
      <c r="E19" s="45"/>
      <c r="F19" s="36"/>
      <c r="G19" s="37"/>
      <c r="H19" s="36"/>
      <c r="I19" s="42"/>
      <c r="J19" s="13"/>
      <c r="L19" s="3" t="s">
        <v>40</v>
      </c>
      <c r="N19" s="4">
        <v>0.05</v>
      </c>
    </row>
    <row r="20" spans="1:23" x14ac:dyDescent="0.15">
      <c r="B20" s="121" t="s">
        <v>96</v>
      </c>
      <c r="C20" s="43"/>
      <c r="D20" s="124" t="s">
        <v>97</v>
      </c>
      <c r="E20" s="45"/>
      <c r="F20" s="36"/>
      <c r="G20" s="37"/>
      <c r="H20" s="36"/>
      <c r="I20" s="42"/>
      <c r="J20" s="13"/>
      <c r="L20" s="3" t="str">
        <f>CONCATENATE("Term Debt x",N16)</f>
        <v>Term Debt xEBITDA</v>
      </c>
      <c r="N20" s="7">
        <v>2.5</v>
      </c>
      <c r="O20" s="145"/>
      <c r="R20" s="119"/>
    </row>
    <row r="21" spans="1:23" x14ac:dyDescent="0.15">
      <c r="B21" s="33" t="s">
        <v>114</v>
      </c>
      <c r="C21" s="79">
        <f>D21*C23</f>
        <v>498.5</v>
      </c>
      <c r="D21" s="130">
        <f>N25</f>
        <v>0.1</v>
      </c>
      <c r="E21" s="127">
        <f>C21/C25</f>
        <v>5.463013698630137E-2</v>
      </c>
      <c r="F21" s="36"/>
      <c r="G21" s="37"/>
      <c r="H21" s="36"/>
      <c r="I21" s="42"/>
      <c r="J21" s="13"/>
      <c r="L21" s="3" t="s">
        <v>41</v>
      </c>
      <c r="N21" s="17">
        <v>1000</v>
      </c>
      <c r="O21" s="144"/>
      <c r="P21" s="75"/>
      <c r="R21" s="119"/>
    </row>
    <row r="22" spans="1:23" x14ac:dyDescent="0.15">
      <c r="B22" s="33" t="s">
        <v>9</v>
      </c>
      <c r="C22" s="41">
        <f>D22*C23</f>
        <v>4486.5</v>
      </c>
      <c r="D22" s="130">
        <f>1-D21</f>
        <v>0.9</v>
      </c>
      <c r="E22" s="13">
        <f>C22/C25</f>
        <v>0.49167123287671233</v>
      </c>
      <c r="F22" s="36"/>
      <c r="G22" s="37"/>
      <c r="H22" s="36"/>
      <c r="I22" s="42"/>
      <c r="J22" s="13"/>
      <c r="L22" s="37" t="s">
        <v>37</v>
      </c>
      <c r="N22" s="17">
        <v>200</v>
      </c>
      <c r="O22" s="144" t="s">
        <v>135</v>
      </c>
      <c r="P22" s="75"/>
      <c r="R22" s="119"/>
    </row>
    <row r="23" spans="1:23" x14ac:dyDescent="0.15">
      <c r="B23" s="120" t="s">
        <v>95</v>
      </c>
      <c r="C23" s="125">
        <f>C25-C18</f>
        <v>4985</v>
      </c>
      <c r="D23" s="131">
        <f>SUM(C21:C22)/C23</f>
        <v>1</v>
      </c>
      <c r="E23" s="129">
        <f>C23/C25</f>
        <v>0.5463013698630137</v>
      </c>
      <c r="F23" s="36"/>
      <c r="G23" s="37"/>
      <c r="H23" s="36"/>
      <c r="I23" s="36"/>
      <c r="J23" s="45"/>
      <c r="L23" s="37" t="s">
        <v>102</v>
      </c>
      <c r="N23" s="10">
        <v>0</v>
      </c>
      <c r="O23" s="144" t="s">
        <v>108</v>
      </c>
      <c r="P23" s="75"/>
      <c r="R23" s="119"/>
      <c r="T23" s="51"/>
      <c r="U23" s="51"/>
      <c r="V23" s="51"/>
      <c r="W23" s="51"/>
    </row>
    <row r="24" spans="1:23" x14ac:dyDescent="0.15">
      <c r="B24" s="33"/>
      <c r="E24" s="46"/>
      <c r="G24" s="33"/>
      <c r="J24" s="46"/>
      <c r="L24" s="37" t="s">
        <v>99</v>
      </c>
      <c r="N24" s="10" t="s">
        <v>137</v>
      </c>
      <c r="O24" s="144" t="s">
        <v>128</v>
      </c>
      <c r="P24" s="75"/>
      <c r="U24" s="119"/>
    </row>
    <row r="25" spans="1:23" x14ac:dyDescent="0.15">
      <c r="B25" s="48" t="s">
        <v>12</v>
      </c>
      <c r="C25" s="49">
        <f>H25</f>
        <v>9125</v>
      </c>
      <c r="D25" s="50">
        <f>C25/$N$17</f>
        <v>7.2651273885350323</v>
      </c>
      <c r="E25" s="15">
        <f>C25/$H$25</f>
        <v>1</v>
      </c>
      <c r="F25" s="51"/>
      <c r="G25" s="48" t="s">
        <v>13</v>
      </c>
      <c r="H25" s="49">
        <f>SUM(H16:H18)</f>
        <v>9125</v>
      </c>
      <c r="I25" s="50">
        <f>H25/$N$17</f>
        <v>7.2651273885350323</v>
      </c>
      <c r="J25" s="15">
        <f>H25/$H$25</f>
        <v>1</v>
      </c>
      <c r="L25" s="37" t="s">
        <v>114</v>
      </c>
      <c r="N25" s="126">
        <v>0.1</v>
      </c>
      <c r="O25" s="151" t="s">
        <v>129</v>
      </c>
    </row>
    <row r="26" spans="1:23" x14ac:dyDescent="0.15">
      <c r="L26" s="3" t="s">
        <v>51</v>
      </c>
      <c r="N26" s="10">
        <v>0</v>
      </c>
      <c r="O26" s="144" t="s">
        <v>134</v>
      </c>
    </row>
    <row r="27" spans="1:23" x14ac:dyDescent="0.15">
      <c r="L27" s="33" t="s">
        <v>52</v>
      </c>
      <c r="N27" s="47">
        <v>500</v>
      </c>
    </row>
    <row r="28" spans="1:23" x14ac:dyDescent="0.15">
      <c r="B28" s="182" t="s">
        <v>14</v>
      </c>
      <c r="C28" s="182"/>
      <c r="D28" s="182"/>
      <c r="E28" s="182"/>
      <c r="F28" s="182"/>
      <c r="G28" s="182"/>
      <c r="H28" s="182"/>
      <c r="I28" s="182"/>
      <c r="J28" s="182"/>
      <c r="L28" s="19" t="s">
        <v>71</v>
      </c>
      <c r="M28" s="52"/>
      <c r="N28" s="104">
        <v>5000</v>
      </c>
    </row>
    <row r="29" spans="1:23" ht="6.5" customHeight="1" x14ac:dyDescent="0.15"/>
    <row r="30" spans="1:23" x14ac:dyDescent="0.15">
      <c r="E30" s="152" t="s">
        <v>131</v>
      </c>
      <c r="J30" s="152" t="s">
        <v>130</v>
      </c>
    </row>
    <row r="31" spans="1:23" x14ac:dyDescent="0.15">
      <c r="A31" s="6" t="s">
        <v>4</v>
      </c>
      <c r="B31" s="53" t="s">
        <v>20</v>
      </c>
      <c r="C31" s="53"/>
      <c r="D31" s="53"/>
      <c r="E31" s="53"/>
      <c r="F31" s="53"/>
      <c r="G31" s="53"/>
      <c r="H31" s="53"/>
      <c r="I31" s="53"/>
      <c r="J31" s="53"/>
      <c r="L31" s="53" t="s">
        <v>79</v>
      </c>
      <c r="M31" s="54"/>
      <c r="N31" s="55"/>
      <c r="O31" s="55"/>
      <c r="P31" s="55"/>
      <c r="Q31" s="55"/>
      <c r="R31" s="55"/>
      <c r="S31" s="55"/>
    </row>
    <row r="32" spans="1:23" ht="6.5" customHeight="1" x14ac:dyDescent="0.15">
      <c r="L32" s="6"/>
      <c r="O32" s="145"/>
    </row>
    <row r="33" spans="2:19 16384:16384" x14ac:dyDescent="0.15">
      <c r="C33" s="154">
        <f>EDATE(D33,-12)</f>
        <v>45291</v>
      </c>
      <c r="D33" s="154">
        <f>EDATE(E33,-12)</f>
        <v>45657</v>
      </c>
      <c r="E33" s="154">
        <f>N18</f>
        <v>46022</v>
      </c>
      <c r="F33" s="155">
        <f>EDATE(E33,12)</f>
        <v>46387</v>
      </c>
      <c r="G33" s="155">
        <f>EDATE(F33,12)</f>
        <v>46752</v>
      </c>
      <c r="H33" s="155">
        <f>EDATE(G33,12)</f>
        <v>47118</v>
      </c>
      <c r="I33" s="155">
        <f>EDATE(H33,12)</f>
        <v>47483</v>
      </c>
      <c r="J33" s="155">
        <f>EDATE(I33,12)</f>
        <v>47848</v>
      </c>
      <c r="L33" s="156" t="s">
        <v>91</v>
      </c>
    </row>
    <row r="34" spans="2:19 16384:16384" x14ac:dyDescent="0.15">
      <c r="B34" s="18" t="s">
        <v>141</v>
      </c>
      <c r="C34" s="168">
        <v>2684</v>
      </c>
      <c r="D34" s="168">
        <v>3720</v>
      </c>
      <c r="E34" s="168">
        <v>4750</v>
      </c>
      <c r="F34" s="170">
        <f>E34*(1+F35)</f>
        <v>5837.5</v>
      </c>
      <c r="G34" s="170">
        <f>F34*(1+G35)</f>
        <v>7396.8749999999991</v>
      </c>
      <c r="H34" s="170">
        <f>G34*(1+H35)</f>
        <v>9543.1249999999982</v>
      </c>
      <c r="I34" s="170">
        <f>H34*(1+I35)</f>
        <v>12478.874999999998</v>
      </c>
      <c r="J34" s="170">
        <f>I34*(1+J35)</f>
        <v>16369.944999999996</v>
      </c>
      <c r="L34" s="117">
        <f>_xlfn.RRI(2,C34,E34)</f>
        <v>0.33031825019272243</v>
      </c>
      <c r="O34" s="144" t="s">
        <v>151</v>
      </c>
    </row>
    <row r="35" spans="2:19 16384:16384" x14ac:dyDescent="0.15">
      <c r="B35" s="21" t="s">
        <v>15</v>
      </c>
      <c r="C35" s="154"/>
      <c r="D35" s="169">
        <f>D34/C34-1</f>
        <v>0.38599105812220569</v>
      </c>
      <c r="E35" s="169">
        <f>E34/D34-1</f>
        <v>0.2768817204301075</v>
      </c>
      <c r="F35" s="181">
        <v>0.22894736842105257</v>
      </c>
      <c r="G35" s="181">
        <v>0.26713062098501061</v>
      </c>
      <c r="H35" s="181">
        <v>0.29015631601182923</v>
      </c>
      <c r="I35" s="181">
        <v>0.30762983823433099</v>
      </c>
      <c r="J35" s="181">
        <v>0.31181256323186179</v>
      </c>
      <c r="L35" s="156"/>
    </row>
    <row r="36" spans="2:19 16384:16384" x14ac:dyDescent="0.15">
      <c r="C36" s="154"/>
      <c r="D36" s="169"/>
      <c r="E36" s="169"/>
      <c r="F36" s="171"/>
      <c r="G36" s="171"/>
      <c r="H36" s="171"/>
      <c r="I36" s="171"/>
      <c r="J36" s="171"/>
      <c r="L36" s="156"/>
    </row>
    <row r="37" spans="2:19 16384:16384" x14ac:dyDescent="0.15">
      <c r="B37" s="18" t="s">
        <v>154</v>
      </c>
      <c r="C37" s="56">
        <v>2123</v>
      </c>
      <c r="D37" s="56">
        <v>3202</v>
      </c>
      <c r="E37" s="56">
        <v>4235</v>
      </c>
      <c r="F37" s="57">
        <f>IF(N16="ARR",AVERAGE(F34,E34),E37*(1+F38))</f>
        <v>5293.75</v>
      </c>
      <c r="G37" s="57">
        <f>IF(O16="ARR",AVERAGE(G34,F34),F37*(1+G38))</f>
        <v>6617.1875</v>
      </c>
      <c r="H37" s="57">
        <f>IF(P16="ARR",AVERAGE(H34,G34),G37*(1+H38))</f>
        <v>8469.9999999999982</v>
      </c>
      <c r="I37" s="57">
        <f>IF(Q16="ARR",AVERAGE(I34,H34),H37*(1+I38))</f>
        <v>11010.999999999998</v>
      </c>
      <c r="J37" s="57">
        <f>IF(R16="ARR",AVERAGE(J34,I34),I37*(1+J38))</f>
        <v>14424.409999999996</v>
      </c>
      <c r="L37" s="117">
        <f>_xlfn.RRI(2,C37,E37)</f>
        <v>0.41238049152830669</v>
      </c>
      <c r="O37" s="144" t="s">
        <v>119</v>
      </c>
    </row>
    <row r="38" spans="2:19 16384:16384" ht="10" customHeight="1" x14ac:dyDescent="0.15">
      <c r="B38" s="21" t="s">
        <v>15</v>
      </c>
      <c r="C38" s="58"/>
      <c r="D38" s="59">
        <f>D37/C37-1</f>
        <v>0.50824305228450317</v>
      </c>
      <c r="E38" s="59">
        <f>E37/D37-1</f>
        <v>0.32261086820737028</v>
      </c>
      <c r="F38" s="60">
        <v>0.25</v>
      </c>
      <c r="G38" s="60">
        <v>0.25</v>
      </c>
      <c r="H38" s="60">
        <v>0.2799999999999998</v>
      </c>
      <c r="I38" s="60">
        <v>0.30000000000000004</v>
      </c>
      <c r="J38" s="60">
        <v>0.30999999999999983</v>
      </c>
      <c r="L38" s="118"/>
      <c r="O38" s="144" t="s">
        <v>152</v>
      </c>
      <c r="XFD38" s="61"/>
    </row>
    <row r="39" spans="2:19 16384:16384" x14ac:dyDescent="0.15">
      <c r="C39" s="62"/>
      <c r="D39" s="62"/>
      <c r="E39" s="62"/>
      <c r="O39" s="146"/>
    </row>
    <row r="40" spans="2:19 16384:16384" x14ac:dyDescent="0.15">
      <c r="B40" s="18" t="s">
        <v>153</v>
      </c>
      <c r="C40" s="56">
        <v>465</v>
      </c>
      <c r="D40" s="56">
        <v>689</v>
      </c>
      <c r="E40" s="56">
        <v>1256</v>
      </c>
      <c r="F40" s="57">
        <f>F41*F37</f>
        <v>1164.625</v>
      </c>
      <c r="G40" s="57">
        <f t="shared" ref="G40:J40" si="0">G41*G37</f>
        <v>1455.78125</v>
      </c>
      <c r="H40" s="57">
        <f t="shared" si="0"/>
        <v>2117.4999999999995</v>
      </c>
      <c r="I40" s="57">
        <f t="shared" si="0"/>
        <v>3083.08</v>
      </c>
      <c r="J40" s="57">
        <f t="shared" si="0"/>
        <v>4183.0788999999986</v>
      </c>
      <c r="L40" s="117">
        <f>_xlfn.RRI(2,C40,E40)</f>
        <v>0.64349483382735473</v>
      </c>
      <c r="O40" s="147" t="s">
        <v>120</v>
      </c>
    </row>
    <row r="41" spans="2:19 16384:16384" x14ac:dyDescent="0.15">
      <c r="B41" s="21" t="s">
        <v>16</v>
      </c>
      <c r="C41" s="59">
        <f>C40/C37</f>
        <v>0.2190296749882242</v>
      </c>
      <c r="D41" s="59">
        <f>D40/D37</f>
        <v>0.21517801374141163</v>
      </c>
      <c r="E41" s="59">
        <f>E40/E37</f>
        <v>0.29657615112160568</v>
      </c>
      <c r="F41" s="60">
        <v>0.22</v>
      </c>
      <c r="G41" s="60">
        <v>0.22</v>
      </c>
      <c r="H41" s="60">
        <v>0.25</v>
      </c>
      <c r="I41" s="60">
        <v>0.28000000000000003</v>
      </c>
      <c r="J41" s="60">
        <v>0.28999999999999998</v>
      </c>
      <c r="O41" s="150" t="s">
        <v>77</v>
      </c>
      <c r="XFD41" s="60"/>
    </row>
    <row r="42" spans="2:19 16384:16384" x14ac:dyDescent="0.15">
      <c r="B42" s="21"/>
      <c r="C42" s="59"/>
      <c r="D42" s="59"/>
      <c r="E42" s="59"/>
      <c r="F42" s="60"/>
      <c r="G42" s="60"/>
      <c r="H42" s="60"/>
      <c r="I42" s="60"/>
      <c r="J42" s="60"/>
      <c r="XFD42" s="60"/>
    </row>
    <row r="43" spans="2:19 16384:16384" x14ac:dyDescent="0.15">
      <c r="B43" s="18" t="s">
        <v>153</v>
      </c>
      <c r="C43" s="59"/>
      <c r="D43" s="59"/>
      <c r="E43" s="59"/>
      <c r="F43" s="63">
        <f>F40</f>
        <v>1164.625</v>
      </c>
      <c r="G43" s="63">
        <f t="shared" ref="G43:J43" si="1">G40</f>
        <v>1455.78125</v>
      </c>
      <c r="H43" s="63">
        <f t="shared" si="1"/>
        <v>2117.4999999999995</v>
      </c>
      <c r="I43" s="63">
        <f t="shared" si="1"/>
        <v>3083.08</v>
      </c>
      <c r="J43" s="63">
        <f t="shared" si="1"/>
        <v>4183.0788999999986</v>
      </c>
      <c r="XFD43" s="60"/>
    </row>
    <row r="44" spans="2:19 16384:16384" x14ac:dyDescent="0.15">
      <c r="B44" s="18" t="s">
        <v>22</v>
      </c>
      <c r="C44" s="59"/>
      <c r="D44" s="59"/>
      <c r="E44" s="59"/>
      <c r="F44" s="64">
        <f>-($L$44*F37)</f>
        <v>-52.9375</v>
      </c>
      <c r="G44" s="64">
        <f>-($L$44*G37)</f>
        <v>-66.171875</v>
      </c>
      <c r="H44" s="64">
        <f>-($L$44*H37)</f>
        <v>-84.699999999999989</v>
      </c>
      <c r="I44" s="64">
        <f>-($L$44*I37)</f>
        <v>-110.10999999999999</v>
      </c>
      <c r="J44" s="64">
        <f>-($L$44*J37)</f>
        <v>-144.24409999999997</v>
      </c>
      <c r="L44" s="5">
        <v>0.01</v>
      </c>
      <c r="M44" s="18" t="s">
        <v>17</v>
      </c>
      <c r="O44" s="144" t="s">
        <v>94</v>
      </c>
      <c r="XFD44" s="60"/>
    </row>
    <row r="45" spans="2:19 16384:16384" x14ac:dyDescent="0.15">
      <c r="B45" s="65" t="s">
        <v>21</v>
      </c>
      <c r="C45" s="66"/>
      <c r="D45" s="66"/>
      <c r="E45" s="66"/>
      <c r="F45" s="67">
        <f>SUM(F43:F44)</f>
        <v>1111.6875</v>
      </c>
      <c r="G45" s="67">
        <f>SUM(G43:G44)</f>
        <v>1389.609375</v>
      </c>
      <c r="H45" s="67">
        <f>SUM(H43:H44)</f>
        <v>2032.7999999999995</v>
      </c>
      <c r="I45" s="67">
        <f>SUM(I43:I44)</f>
        <v>2972.97</v>
      </c>
      <c r="J45" s="67">
        <f>SUM(J43:J44)</f>
        <v>4038.8347999999987</v>
      </c>
      <c r="L45" s="6"/>
      <c r="O45" s="145"/>
      <c r="XFD45" s="60"/>
    </row>
    <row r="46" spans="2:19 16384:16384" x14ac:dyDescent="0.15">
      <c r="B46" s="21"/>
      <c r="C46" s="59"/>
      <c r="D46" s="59"/>
      <c r="E46" s="59"/>
      <c r="F46" s="60"/>
      <c r="G46" s="60"/>
      <c r="H46" s="60"/>
      <c r="I46" s="60"/>
      <c r="J46" s="60"/>
      <c r="L46" s="6"/>
      <c r="O46" s="145"/>
      <c r="XFD46" s="60"/>
    </row>
    <row r="47" spans="2:19 16384:16384" x14ac:dyDescent="0.15">
      <c r="B47" s="18" t="s">
        <v>23</v>
      </c>
      <c r="C47" s="59"/>
      <c r="D47" s="59"/>
      <c r="E47" s="59"/>
      <c r="F47" s="68">
        <f>-F80-F89</f>
        <v>-394</v>
      </c>
      <c r="G47" s="68">
        <f>-G80-G89</f>
        <v>-394</v>
      </c>
      <c r="H47" s="68">
        <f>-H80-H89</f>
        <v>-394</v>
      </c>
      <c r="I47" s="68">
        <f>-I80-I89</f>
        <v>-394</v>
      </c>
      <c r="J47" s="68">
        <f>-J80-J89</f>
        <v>-394</v>
      </c>
      <c r="L47" s="6"/>
      <c r="O47" s="145"/>
      <c r="XFD47" s="60"/>
    </row>
    <row r="48" spans="2:19 16384:16384" x14ac:dyDescent="0.15">
      <c r="B48" s="65" t="s">
        <v>24</v>
      </c>
      <c r="C48" s="66"/>
      <c r="D48" s="66"/>
      <c r="E48" s="66"/>
      <c r="F48" s="67">
        <f>F45+F47</f>
        <v>717.6875</v>
      </c>
      <c r="G48" s="67">
        <f t="shared" ref="G48:J48" si="2">G45+G47</f>
        <v>995.609375</v>
      </c>
      <c r="H48" s="67">
        <f t="shared" si="2"/>
        <v>1638.7999999999995</v>
      </c>
      <c r="I48" s="67">
        <f t="shared" si="2"/>
        <v>2578.9699999999998</v>
      </c>
      <c r="J48" s="67">
        <f t="shared" si="2"/>
        <v>3644.8347999999987</v>
      </c>
      <c r="L48" s="6"/>
      <c r="O48" s="148"/>
      <c r="P48" s="60"/>
      <c r="Q48" s="60"/>
      <c r="R48" s="60"/>
      <c r="S48" s="60"/>
      <c r="XFD48" s="60"/>
    </row>
    <row r="49" spans="1:21 16384:16384" x14ac:dyDescent="0.15">
      <c r="C49" s="59"/>
      <c r="D49" s="59"/>
      <c r="E49" s="59"/>
      <c r="F49" s="60"/>
      <c r="G49" s="60"/>
      <c r="H49" s="60"/>
      <c r="I49" s="60"/>
      <c r="J49" s="60"/>
      <c r="L49" s="6"/>
      <c r="O49" s="145"/>
      <c r="P49" s="75"/>
      <c r="Q49" s="75"/>
      <c r="R49" s="75"/>
      <c r="S49" s="75"/>
      <c r="T49" s="75"/>
      <c r="U49" s="75"/>
      <c r="XFD49" s="60"/>
    </row>
    <row r="50" spans="1:21 16384:16384" x14ac:dyDescent="0.15">
      <c r="B50" s="18" t="s">
        <v>100</v>
      </c>
      <c r="C50" s="59"/>
      <c r="D50" s="59"/>
      <c r="E50" s="133">
        <f>IF(N24="LLC",45%,26.5%)</f>
        <v>0.26500000000000001</v>
      </c>
      <c r="F50" s="68">
        <f>-$E$50*F48</f>
        <v>-190.18718750000002</v>
      </c>
      <c r="G50" s="68">
        <f>-$E$50*G48</f>
        <v>-263.836484375</v>
      </c>
      <c r="H50" s="68">
        <f>-$E$50*H48</f>
        <v>-434.28199999999987</v>
      </c>
      <c r="I50" s="68">
        <f>-$E$50*I48</f>
        <v>-683.42705000000001</v>
      </c>
      <c r="J50" s="68">
        <f>-$E$50*J48</f>
        <v>-965.88122199999975</v>
      </c>
      <c r="N50" s="21"/>
      <c r="O50" s="145"/>
      <c r="P50" s="75"/>
      <c r="Q50" s="75"/>
      <c r="R50" s="75"/>
      <c r="S50" s="75"/>
      <c r="T50" s="75"/>
      <c r="U50" s="75"/>
      <c r="XFD50" s="60"/>
    </row>
    <row r="51" spans="1:21 16384:16384" x14ac:dyDescent="0.15">
      <c r="B51" s="65" t="s">
        <v>25</v>
      </c>
      <c r="C51" s="66"/>
      <c r="D51" s="66"/>
      <c r="E51" s="132"/>
      <c r="F51" s="67">
        <f t="shared" ref="F51:I51" si="3">F48+F50</f>
        <v>527.50031249999995</v>
      </c>
      <c r="G51" s="67">
        <f t="shared" si="3"/>
        <v>731.77289062499995</v>
      </c>
      <c r="H51" s="67">
        <f t="shared" si="3"/>
        <v>1204.5179999999996</v>
      </c>
      <c r="I51" s="67">
        <f t="shared" si="3"/>
        <v>1895.5429499999998</v>
      </c>
      <c r="J51" s="67">
        <f>J48+J50</f>
        <v>2678.9535779999987</v>
      </c>
      <c r="L51" s="6"/>
      <c r="O51" s="145"/>
      <c r="P51" s="75"/>
      <c r="Q51" s="75"/>
      <c r="R51" s="75"/>
      <c r="S51" s="75"/>
      <c r="T51" s="75"/>
      <c r="U51" s="75"/>
      <c r="XFD51" s="60"/>
    </row>
    <row r="52" spans="1:21 16384:16384" ht="6.5" customHeight="1" x14ac:dyDescent="0.15">
      <c r="L52" s="6"/>
      <c r="O52" s="145"/>
    </row>
    <row r="53" spans="1:21 16384:16384" x14ac:dyDescent="0.15">
      <c r="A53" s="6" t="s">
        <v>4</v>
      </c>
      <c r="B53" s="53" t="s">
        <v>19</v>
      </c>
      <c r="C53" s="53"/>
      <c r="D53" s="53"/>
      <c r="E53" s="53"/>
      <c r="F53" s="53"/>
      <c r="G53" s="53"/>
      <c r="H53" s="53"/>
      <c r="I53" s="53"/>
      <c r="J53" s="53"/>
      <c r="L53" s="6"/>
      <c r="O53" s="145"/>
    </row>
    <row r="54" spans="1:21 16384:16384" ht="6.5" customHeight="1" x14ac:dyDescent="0.15">
      <c r="L54" s="6"/>
      <c r="O54" s="145"/>
    </row>
    <row r="55" spans="1:21 16384:16384" x14ac:dyDescent="0.15">
      <c r="B55" s="18" t="s">
        <v>25</v>
      </c>
      <c r="C55" s="62"/>
      <c r="D55" s="62"/>
      <c r="E55" s="62"/>
      <c r="F55" s="57">
        <f>F51</f>
        <v>527.50031249999995</v>
      </c>
      <c r="G55" s="57">
        <f t="shared" ref="G55:J55" si="4">G51</f>
        <v>731.77289062499995</v>
      </c>
      <c r="H55" s="57">
        <f t="shared" si="4"/>
        <v>1204.5179999999996</v>
      </c>
      <c r="I55" s="57">
        <f t="shared" si="4"/>
        <v>1895.5429499999998</v>
      </c>
      <c r="J55" s="57">
        <f t="shared" si="4"/>
        <v>2678.9535779999987</v>
      </c>
      <c r="L55" s="6"/>
      <c r="O55" s="145"/>
    </row>
    <row r="56" spans="1:21 16384:16384" x14ac:dyDescent="0.15">
      <c r="B56" s="69" t="s">
        <v>26</v>
      </c>
      <c r="C56" s="62"/>
      <c r="D56" s="62"/>
      <c r="E56" s="62"/>
      <c r="F56" s="25">
        <f>-SUM(F44:F44)</f>
        <v>52.9375</v>
      </c>
      <c r="G56" s="25">
        <f>-SUM(G44:G44)</f>
        <v>66.171875</v>
      </c>
      <c r="H56" s="25">
        <f>-SUM(H44:H44)</f>
        <v>84.699999999999989</v>
      </c>
      <c r="I56" s="25">
        <f>-SUM(I44:I44)</f>
        <v>110.10999999999999</v>
      </c>
      <c r="J56" s="25">
        <f>-SUM(J44:J44)</f>
        <v>144.24409999999997</v>
      </c>
      <c r="L56" s="6"/>
      <c r="O56" s="145" t="s">
        <v>155</v>
      </c>
    </row>
    <row r="57" spans="1:21 16384:16384" x14ac:dyDescent="0.15">
      <c r="B57" s="69" t="s">
        <v>18</v>
      </c>
      <c r="C57" s="62"/>
      <c r="D57" s="62"/>
      <c r="E57" s="62"/>
      <c r="F57" s="25">
        <f>$L$57*F37</f>
        <v>52.9375</v>
      </c>
      <c r="G57" s="25">
        <f>$L$57*G37</f>
        <v>66.171875</v>
      </c>
      <c r="H57" s="25">
        <f>$L$57*H37</f>
        <v>84.699999999999989</v>
      </c>
      <c r="I57" s="25">
        <f>$L$57*I37</f>
        <v>110.10999999999999</v>
      </c>
      <c r="J57" s="25">
        <f>$L$57*J37</f>
        <v>144.24409999999997</v>
      </c>
      <c r="L57" s="5">
        <v>0.01</v>
      </c>
      <c r="M57" s="18" t="s">
        <v>17</v>
      </c>
      <c r="O57" s="144" t="s">
        <v>92</v>
      </c>
    </row>
    <row r="58" spans="1:21 16384:16384" x14ac:dyDescent="0.15">
      <c r="B58" s="69" t="s">
        <v>27</v>
      </c>
      <c r="C58" s="62"/>
      <c r="D58" s="62"/>
      <c r="E58" s="62"/>
      <c r="F58" s="25">
        <f>-$L$58*F37</f>
        <v>-52.9375</v>
      </c>
      <c r="G58" s="25">
        <f>-$L$58*G37</f>
        <v>-66.171875</v>
      </c>
      <c r="H58" s="25">
        <f>-$L$58*H37</f>
        <v>-84.699999999999989</v>
      </c>
      <c r="I58" s="25">
        <f>-$L$58*I37</f>
        <v>-110.10999999999999</v>
      </c>
      <c r="J58" s="25">
        <f>-$L$58*J37</f>
        <v>-144.24409999999997</v>
      </c>
      <c r="L58" s="5">
        <v>0.01</v>
      </c>
      <c r="M58" s="18" t="s">
        <v>17</v>
      </c>
      <c r="O58" s="144" t="s">
        <v>93</v>
      </c>
    </row>
    <row r="59" spans="1:21 16384:16384" x14ac:dyDescent="0.15">
      <c r="B59" s="69" t="s">
        <v>69</v>
      </c>
      <c r="C59" s="62"/>
      <c r="D59" s="62"/>
      <c r="E59" s="62"/>
      <c r="F59" s="25">
        <f>F77+F86</f>
        <v>0</v>
      </c>
      <c r="G59" s="25">
        <f>G77+G86</f>
        <v>0</v>
      </c>
      <c r="H59" s="25">
        <f>H77+H86</f>
        <v>0</v>
      </c>
      <c r="I59" s="25">
        <f>I77+I86</f>
        <v>0</v>
      </c>
      <c r="J59" s="25">
        <f>J77+J86</f>
        <v>-4140</v>
      </c>
      <c r="O59" s="145"/>
    </row>
    <row r="60" spans="1:21 16384:16384" x14ac:dyDescent="0.15">
      <c r="B60" s="65" t="s">
        <v>53</v>
      </c>
      <c r="C60" s="70"/>
      <c r="D60" s="70"/>
      <c r="E60" s="70"/>
      <c r="F60" s="71">
        <f>SUM(F55:F59)</f>
        <v>580.43781249999995</v>
      </c>
      <c r="G60" s="71">
        <f>SUM(G55:G59)</f>
        <v>797.94476562499995</v>
      </c>
      <c r="H60" s="71">
        <f>SUM(H55:H59)</f>
        <v>1289.2179999999996</v>
      </c>
      <c r="I60" s="71">
        <f>SUM(I55:I59)</f>
        <v>2005.6529499999999</v>
      </c>
      <c r="J60" s="71">
        <f>SUM(J55:J59)</f>
        <v>-1316.8023220000014</v>
      </c>
      <c r="O60" s="145"/>
    </row>
    <row r="61" spans="1:21 16384:16384" x14ac:dyDescent="0.15">
      <c r="C61" s="62"/>
      <c r="D61" s="62"/>
      <c r="E61" s="62"/>
      <c r="F61" s="25"/>
      <c r="G61" s="25"/>
      <c r="H61" s="25"/>
      <c r="I61" s="25"/>
      <c r="J61" s="25"/>
      <c r="O61" s="145"/>
    </row>
    <row r="62" spans="1:21 16384:16384" x14ac:dyDescent="0.15">
      <c r="B62" s="18" t="s">
        <v>70</v>
      </c>
      <c r="C62" s="62"/>
      <c r="D62" s="62"/>
      <c r="E62" s="62"/>
      <c r="F62" s="72">
        <f>-F122</f>
        <v>0</v>
      </c>
      <c r="G62" s="73"/>
      <c r="H62" s="73"/>
      <c r="I62" s="73"/>
      <c r="J62" s="73"/>
      <c r="O62" s="145"/>
    </row>
    <row r="63" spans="1:21 16384:16384" ht="10" customHeight="1" x14ac:dyDescent="0.15">
      <c r="C63" s="62"/>
      <c r="D63" s="62"/>
      <c r="E63" s="62"/>
      <c r="O63" s="145"/>
    </row>
    <row r="64" spans="1:21 16384:16384" ht="10" customHeight="1" x14ac:dyDescent="0.15">
      <c r="B64" s="18" t="s">
        <v>36</v>
      </c>
      <c r="C64" s="62"/>
      <c r="D64" s="62"/>
      <c r="E64" s="62"/>
      <c r="F64" s="74">
        <f>N22</f>
        <v>200</v>
      </c>
      <c r="G64" s="74">
        <f>F70</f>
        <v>780.43781249999995</v>
      </c>
      <c r="H64" s="74">
        <f>G70</f>
        <v>1578.3825781249998</v>
      </c>
      <c r="I64" s="74">
        <f>H70</f>
        <v>2867.6005781249996</v>
      </c>
      <c r="J64" s="74">
        <f>I70</f>
        <v>4873.2535281249993</v>
      </c>
      <c r="O64" s="145"/>
    </row>
    <row r="65" spans="1:15" x14ac:dyDescent="0.15">
      <c r="B65" s="69" t="s">
        <v>42</v>
      </c>
      <c r="C65" s="62"/>
      <c r="D65" s="62"/>
      <c r="E65" s="62"/>
      <c r="F65" s="25">
        <f>F60+F62</f>
        <v>580.43781249999995</v>
      </c>
      <c r="G65" s="25">
        <f t="shared" ref="G65:J65" si="5">G60++G62</f>
        <v>797.94476562499995</v>
      </c>
      <c r="H65" s="25">
        <f t="shared" si="5"/>
        <v>1289.2179999999996</v>
      </c>
      <c r="I65" s="25">
        <f t="shared" si="5"/>
        <v>2005.6529499999999</v>
      </c>
      <c r="J65" s="25">
        <f t="shared" si="5"/>
        <v>-1316.8023220000014</v>
      </c>
      <c r="O65" s="145"/>
    </row>
    <row r="66" spans="1:15" x14ac:dyDescent="0.15">
      <c r="B66" s="18" t="s">
        <v>103</v>
      </c>
      <c r="C66" s="62"/>
      <c r="D66" s="62"/>
      <c r="E66" s="62"/>
      <c r="F66" s="72">
        <f>SUM(F64:F65)</f>
        <v>780.43781249999995</v>
      </c>
      <c r="G66" s="72">
        <f>SUM(G64:G65)</f>
        <v>1578.3825781249998</v>
      </c>
      <c r="H66" s="72">
        <f>SUM(H64:H65)</f>
        <v>2867.6005781249996</v>
      </c>
      <c r="I66" s="72">
        <f>SUM(I64:I65)</f>
        <v>4873.2535281249993</v>
      </c>
      <c r="J66" s="72">
        <f>SUM(J64:J65)</f>
        <v>3556.451206124998</v>
      </c>
      <c r="O66" s="145"/>
    </row>
    <row r="67" spans="1:15" x14ac:dyDescent="0.15">
      <c r="B67" s="75" t="s">
        <v>44</v>
      </c>
      <c r="C67" s="62"/>
      <c r="D67" s="62"/>
      <c r="E67" s="62"/>
      <c r="F67" s="75">
        <f>IF(F66&lt;0,1,0)</f>
        <v>0</v>
      </c>
      <c r="G67" s="75">
        <f>IF(G66&lt;0,1,0)</f>
        <v>0</v>
      </c>
      <c r="H67" s="75">
        <f>IF(H66&lt;0,1,0)</f>
        <v>0</v>
      </c>
      <c r="I67" s="75">
        <f>IF(I66&lt;0,1,0)</f>
        <v>0</v>
      </c>
      <c r="J67" s="75">
        <f>IF(J66&lt;0,1,0)</f>
        <v>0</v>
      </c>
      <c r="O67" s="145"/>
    </row>
    <row r="68" spans="1:15" x14ac:dyDescent="0.15">
      <c r="B68" s="75"/>
      <c r="C68" s="62"/>
      <c r="D68" s="62"/>
      <c r="E68" s="62"/>
      <c r="F68" s="75"/>
      <c r="G68" s="75"/>
      <c r="H68" s="75"/>
      <c r="I68" s="75"/>
      <c r="J68" s="75"/>
      <c r="O68" s="145"/>
    </row>
    <row r="69" spans="1:15" x14ac:dyDescent="0.15">
      <c r="B69" s="143" t="s">
        <v>106</v>
      </c>
      <c r="C69" s="134"/>
      <c r="D69" s="134"/>
      <c r="E69" s="134"/>
      <c r="F69" s="36">
        <v>0</v>
      </c>
      <c r="G69" s="36">
        <v>0</v>
      </c>
      <c r="H69" s="41">
        <f>MAX(IF($N$23=1,1/3*H66,0),0)</f>
        <v>0</v>
      </c>
      <c r="I69" s="41">
        <f>MAX(IF($N$23=1,1/3*I66,0),0)</f>
        <v>0</v>
      </c>
      <c r="J69" s="41">
        <v>0</v>
      </c>
      <c r="O69" s="145"/>
    </row>
    <row r="70" spans="1:15" x14ac:dyDescent="0.15">
      <c r="B70" s="36" t="s">
        <v>104</v>
      </c>
      <c r="C70" s="134"/>
      <c r="D70" s="134"/>
      <c r="E70" s="134"/>
      <c r="F70" s="135">
        <f>F66-F69</f>
        <v>780.43781249999995</v>
      </c>
      <c r="G70" s="135">
        <f>G66-G69</f>
        <v>1578.3825781249998</v>
      </c>
      <c r="H70" s="135">
        <f>H66-H69</f>
        <v>2867.6005781249996</v>
      </c>
      <c r="I70" s="135">
        <f>I66-I69</f>
        <v>4873.2535281249993</v>
      </c>
      <c r="J70" s="135">
        <f>J66-J69</f>
        <v>3556.451206124998</v>
      </c>
      <c r="O70" s="145"/>
    </row>
    <row r="71" spans="1:15" x14ac:dyDescent="0.15">
      <c r="B71" s="75"/>
      <c r="C71" s="62"/>
      <c r="D71" s="62"/>
      <c r="E71" s="62"/>
      <c r="F71" s="75"/>
      <c r="G71" s="75"/>
      <c r="H71" s="93"/>
      <c r="I71" s="75"/>
      <c r="J71" s="75"/>
      <c r="O71" s="145"/>
    </row>
    <row r="72" spans="1:15" ht="6.5" customHeight="1" x14ac:dyDescent="0.15">
      <c r="O72" s="145"/>
    </row>
    <row r="73" spans="1:15" x14ac:dyDescent="0.15">
      <c r="A73" s="6" t="s">
        <v>4</v>
      </c>
      <c r="B73" s="53" t="s">
        <v>28</v>
      </c>
      <c r="C73" s="53"/>
      <c r="D73" s="53"/>
      <c r="E73" s="53"/>
      <c r="F73" s="53"/>
      <c r="G73" s="53"/>
      <c r="H73" s="53"/>
      <c r="I73" s="53"/>
      <c r="J73" s="53"/>
      <c r="O73" s="145"/>
    </row>
    <row r="74" spans="1:15" ht="6.5" customHeight="1" x14ac:dyDescent="0.15">
      <c r="O74" s="145"/>
    </row>
    <row r="75" spans="1:15" ht="10" customHeight="1" x14ac:dyDescent="0.15">
      <c r="B75" s="76" t="s">
        <v>29</v>
      </c>
      <c r="C75" s="62"/>
      <c r="D75" s="62"/>
      <c r="E75" s="62"/>
      <c r="O75" s="145"/>
    </row>
    <row r="76" spans="1:15" ht="10" customHeight="1" x14ac:dyDescent="0.15">
      <c r="B76" s="18" t="s">
        <v>30</v>
      </c>
      <c r="C76" s="62"/>
      <c r="D76" s="62"/>
      <c r="E76" s="62"/>
      <c r="F76" s="77">
        <f>C16</f>
        <v>3140</v>
      </c>
      <c r="G76" s="77">
        <f>F78</f>
        <v>3140</v>
      </c>
      <c r="H76" s="77">
        <f t="shared" ref="H76:J76" si="6">G78</f>
        <v>3140</v>
      </c>
      <c r="I76" s="77">
        <f t="shared" si="6"/>
        <v>3140</v>
      </c>
      <c r="J76" s="77">
        <f t="shared" si="6"/>
        <v>3140</v>
      </c>
      <c r="O76" s="145"/>
    </row>
    <row r="77" spans="1:15" ht="10" customHeight="1" x14ac:dyDescent="0.15">
      <c r="B77" s="69" t="s">
        <v>83</v>
      </c>
      <c r="C77" s="62"/>
      <c r="D77" s="62"/>
      <c r="E77" s="62"/>
      <c r="F77" s="78">
        <f>$F$76*-F82</f>
        <v>0</v>
      </c>
      <c r="G77" s="78">
        <f>$F$76*-G82</f>
        <v>0</v>
      </c>
      <c r="H77" s="78">
        <f>$F$76*-H82</f>
        <v>0</v>
      </c>
      <c r="I77" s="78">
        <f>$F$76*-I82</f>
        <v>0</v>
      </c>
      <c r="J77" s="78">
        <f>$F$76*-J82</f>
        <v>-3140</v>
      </c>
      <c r="O77" s="145"/>
    </row>
    <row r="78" spans="1:15" ht="10" customHeight="1" x14ac:dyDescent="0.15">
      <c r="B78" s="18" t="s">
        <v>31</v>
      </c>
      <c r="C78" s="62"/>
      <c r="D78" s="62"/>
      <c r="E78" s="62"/>
      <c r="F78" s="77">
        <f>SUM(F76:F77)</f>
        <v>3140</v>
      </c>
      <c r="G78" s="77">
        <f>SUM(G76:G77)</f>
        <v>3140</v>
      </c>
      <c r="H78" s="77">
        <f>SUM(H76:H77)</f>
        <v>3140</v>
      </c>
      <c r="I78" s="77">
        <f>SUM(I76:I77)</f>
        <v>3140</v>
      </c>
      <c r="J78" s="79">
        <f>SUM(J76:J77)</f>
        <v>0</v>
      </c>
      <c r="O78" s="145"/>
    </row>
    <row r="79" spans="1:15" ht="10" customHeight="1" x14ac:dyDescent="0.15">
      <c r="C79" s="62"/>
      <c r="D79" s="62"/>
      <c r="E79" s="62"/>
      <c r="O79" s="145"/>
    </row>
    <row r="80" spans="1:15" ht="10" customHeight="1" x14ac:dyDescent="0.15">
      <c r="B80" s="18" t="s">
        <v>32</v>
      </c>
      <c r="C80" s="62"/>
      <c r="D80" s="62"/>
      <c r="E80" s="62"/>
      <c r="F80" s="77">
        <f>F76*$L$80</f>
        <v>314</v>
      </c>
      <c r="G80" s="77">
        <f>G76*$L$80</f>
        <v>314</v>
      </c>
      <c r="H80" s="77">
        <f>H76*$L$80</f>
        <v>314</v>
      </c>
      <c r="I80" s="77">
        <f>I76*$L$80</f>
        <v>314</v>
      </c>
      <c r="J80" s="77">
        <f>J76*$L$80</f>
        <v>314</v>
      </c>
      <c r="L80" s="5">
        <v>0.1</v>
      </c>
      <c r="M80" s="18" t="s">
        <v>45</v>
      </c>
      <c r="O80" s="145"/>
    </row>
    <row r="81" spans="2:15" ht="10" customHeight="1" x14ac:dyDescent="0.15">
      <c r="C81" s="62"/>
      <c r="D81" s="62"/>
      <c r="E81" s="62"/>
      <c r="O81" s="145"/>
    </row>
    <row r="82" spans="2:15" ht="10" customHeight="1" x14ac:dyDescent="0.15">
      <c r="B82" s="18" t="s">
        <v>80</v>
      </c>
      <c r="C82" s="62"/>
      <c r="D82" s="62"/>
      <c r="E82" s="62"/>
      <c r="F82" s="80">
        <v>0</v>
      </c>
      <c r="G82" s="80">
        <v>0</v>
      </c>
      <c r="H82" s="80">
        <v>0</v>
      </c>
      <c r="I82" s="80">
        <v>0</v>
      </c>
      <c r="J82" s="80">
        <v>1</v>
      </c>
      <c r="L82" s="153" t="str">
        <f>IF(SUM(F82:J82)=100%,"Check","Paydown doesn't add to 100%")</f>
        <v>Check</v>
      </c>
      <c r="O82" s="144" t="s">
        <v>107</v>
      </c>
    </row>
    <row r="83" spans="2:15" ht="10" customHeight="1" x14ac:dyDescent="0.15">
      <c r="C83" s="62"/>
      <c r="D83" s="62"/>
      <c r="E83" s="62"/>
      <c r="O83" s="145"/>
    </row>
    <row r="84" spans="2:15" ht="10" customHeight="1" x14ac:dyDescent="0.15">
      <c r="B84" s="76" t="s">
        <v>0</v>
      </c>
      <c r="C84" s="62"/>
      <c r="D84" s="62"/>
      <c r="E84" s="62"/>
      <c r="F84" s="81"/>
      <c r="G84" s="81"/>
      <c r="H84" s="81"/>
      <c r="I84" s="81"/>
      <c r="J84" s="81"/>
      <c r="N84" s="18" t="s">
        <v>38</v>
      </c>
      <c r="O84" s="145"/>
    </row>
    <row r="85" spans="2:15" ht="10" customHeight="1" x14ac:dyDescent="0.15">
      <c r="B85" s="18" t="s">
        <v>34</v>
      </c>
      <c r="C85" s="62"/>
      <c r="D85" s="62"/>
      <c r="E85" s="62"/>
      <c r="F85" s="77">
        <f>C17</f>
        <v>1000</v>
      </c>
      <c r="G85" s="77">
        <f>F87</f>
        <v>1000</v>
      </c>
      <c r="H85" s="77">
        <f>G87</f>
        <v>1000</v>
      </c>
      <c r="I85" s="77">
        <f>H87</f>
        <v>1000</v>
      </c>
      <c r="J85" s="77">
        <f>I87</f>
        <v>1000</v>
      </c>
      <c r="L85" s="20"/>
      <c r="O85" s="144"/>
    </row>
    <row r="86" spans="2:15" ht="10" customHeight="1" x14ac:dyDescent="0.15">
      <c r="B86" s="69" t="s">
        <v>35</v>
      </c>
      <c r="C86" s="62"/>
      <c r="D86" s="62"/>
      <c r="E86" s="62"/>
      <c r="F86" s="78">
        <f>$F$85*-F91</f>
        <v>0</v>
      </c>
      <c r="G86" s="78">
        <f>$F$85*-G91</f>
        <v>0</v>
      </c>
      <c r="H86" s="78">
        <f>$F$85*-H91</f>
        <v>0</v>
      </c>
      <c r="I86" s="78">
        <f>$F$85*-I91</f>
        <v>0</v>
      </c>
      <c r="J86" s="78">
        <f>$F$85*-J91</f>
        <v>-1000</v>
      </c>
      <c r="L86" s="20"/>
      <c r="O86" s="145"/>
    </row>
    <row r="87" spans="2:15" ht="10" customHeight="1" x14ac:dyDescent="0.15">
      <c r="B87" s="18" t="s">
        <v>31</v>
      </c>
      <c r="C87" s="62"/>
      <c r="D87" s="62"/>
      <c r="E87" s="62"/>
      <c r="F87" s="77">
        <f>SUM(F85:F86)</f>
        <v>1000</v>
      </c>
      <c r="G87" s="77">
        <f>SUM(G85:G86)</f>
        <v>1000</v>
      </c>
      <c r="H87" s="77">
        <f>SUM(H85:H86)</f>
        <v>1000</v>
      </c>
      <c r="I87" s="77">
        <f>SUM(I85:I86)</f>
        <v>1000</v>
      </c>
      <c r="J87" s="79">
        <f>SUM(J85:J86)</f>
        <v>0</v>
      </c>
      <c r="O87" s="145"/>
    </row>
    <row r="88" spans="2:15" ht="10" customHeight="1" x14ac:dyDescent="0.15">
      <c r="C88" s="62"/>
      <c r="D88" s="62"/>
      <c r="E88" s="62"/>
      <c r="O88" s="145"/>
    </row>
    <row r="89" spans="2:15" ht="10" customHeight="1" x14ac:dyDescent="0.15">
      <c r="B89" s="18" t="s">
        <v>32</v>
      </c>
      <c r="C89" s="62"/>
      <c r="D89" s="62"/>
      <c r="E89" s="62"/>
      <c r="F89" s="77">
        <f>$L$89*F85</f>
        <v>80</v>
      </c>
      <c r="G89" s="77">
        <f>$L$89*G85</f>
        <v>80</v>
      </c>
      <c r="H89" s="77">
        <f>$L$89*H85</f>
        <v>80</v>
      </c>
      <c r="I89" s="77">
        <f>$L$89*I85</f>
        <v>80</v>
      </c>
      <c r="J89" s="77">
        <f>$L$89*J85</f>
        <v>80</v>
      </c>
      <c r="L89" s="5">
        <v>0.08</v>
      </c>
      <c r="M89" s="18" t="s">
        <v>45</v>
      </c>
      <c r="O89" s="145"/>
    </row>
    <row r="90" spans="2:15" ht="10" customHeight="1" x14ac:dyDescent="0.15">
      <c r="C90" s="62"/>
      <c r="D90" s="62"/>
      <c r="E90" s="62"/>
      <c r="F90" s="77"/>
      <c r="G90" s="77"/>
      <c r="H90" s="77"/>
      <c r="I90" s="77"/>
      <c r="J90" s="77"/>
      <c r="L90" s="18"/>
      <c r="O90" s="145"/>
    </row>
    <row r="91" spans="2:15" ht="10" customHeight="1" x14ac:dyDescent="0.15">
      <c r="B91" s="18" t="s">
        <v>80</v>
      </c>
      <c r="C91" s="62"/>
      <c r="D91" s="62"/>
      <c r="E91" s="62"/>
      <c r="F91" s="80">
        <v>0</v>
      </c>
      <c r="G91" s="80">
        <v>0</v>
      </c>
      <c r="H91" s="80">
        <v>0</v>
      </c>
      <c r="I91" s="80">
        <v>0</v>
      </c>
      <c r="J91" s="80">
        <v>1</v>
      </c>
      <c r="L91" s="153" t="str">
        <f>IF(SUM(F91:J91)=100%,"Check","Paydown doesn't add to 100%")</f>
        <v>Check</v>
      </c>
      <c r="O91" s="144" t="s">
        <v>116</v>
      </c>
    </row>
    <row r="92" spans="2:15" ht="10" customHeight="1" x14ac:dyDescent="0.15">
      <c r="C92" s="62"/>
      <c r="D92" s="62"/>
      <c r="E92" s="62"/>
      <c r="O92" s="145"/>
    </row>
    <row r="93" spans="2:15" ht="10" customHeight="1" x14ac:dyDescent="0.15">
      <c r="B93" s="76" t="s">
        <v>142</v>
      </c>
      <c r="C93" s="62"/>
      <c r="D93" s="62"/>
      <c r="E93" s="62"/>
      <c r="O93" s="145"/>
    </row>
    <row r="94" spans="2:15" ht="10" customHeight="1" x14ac:dyDescent="0.15">
      <c r="B94" s="18" t="s">
        <v>143</v>
      </c>
      <c r="C94" s="62"/>
      <c r="D94" s="62"/>
      <c r="E94" s="62"/>
      <c r="F94" s="172">
        <f>F78/F43</f>
        <v>2.6961468283782333</v>
      </c>
      <c r="G94" s="172">
        <f>G78/G43</f>
        <v>2.1569174627025869</v>
      </c>
      <c r="H94" s="172">
        <f>H78/H43</f>
        <v>1.4828807556080286</v>
      </c>
      <c r="I94" s="172">
        <f>I78/I43</f>
        <v>1.0184620574230965</v>
      </c>
      <c r="J94" s="172">
        <f>J78/J43</f>
        <v>0</v>
      </c>
      <c r="O94" s="147" t="s">
        <v>150</v>
      </c>
    </row>
    <row r="95" spans="2:15" ht="10" customHeight="1" x14ac:dyDescent="0.15">
      <c r="B95" s="18" t="s">
        <v>145</v>
      </c>
      <c r="C95" s="62"/>
      <c r="D95" s="62"/>
      <c r="E95" s="62"/>
      <c r="F95" s="172">
        <f>(F78+F87)/F43</f>
        <v>3.5547923151228935</v>
      </c>
      <c r="G95" s="172">
        <f>(G78+G87)/G43</f>
        <v>2.8438338520983151</v>
      </c>
      <c r="H95" s="172">
        <f>(H78+H87)/H43</f>
        <v>1.955135773317592</v>
      </c>
      <c r="I95" s="172">
        <f>(I78+I87)/I43</f>
        <v>1.3428130311247195</v>
      </c>
      <c r="J95" s="172">
        <f>(J78+J87)/J43</f>
        <v>0</v>
      </c>
      <c r="O95" s="145"/>
    </row>
    <row r="96" spans="2:15" ht="10" customHeight="1" x14ac:dyDescent="0.15">
      <c r="B96" s="18" t="s">
        <v>144</v>
      </c>
      <c r="C96" s="62"/>
      <c r="D96" s="62"/>
      <c r="E96" s="62"/>
      <c r="F96" s="12">
        <f>F40/(-F77+F80+-F86+F89-F58-F50+F69-F62)</f>
        <v>1.8279388993225913</v>
      </c>
      <c r="G96" s="12">
        <f>G40/(-G77+G80+-G86+G89-G58-G50+G69-G62)</f>
        <v>2.0107243668522039</v>
      </c>
      <c r="H96" s="12">
        <f>H40/(-H77+H80+-H86+H89-H58-H50+H69-H62)</f>
        <v>2.3193228344041832</v>
      </c>
      <c r="I96" s="12">
        <f>I40/(-I77+I80+-I86+I89-I58-I50+I69-I62)</f>
        <v>2.5961968933937682</v>
      </c>
      <c r="J96" s="12">
        <f>J40/(-J77+J80+-J86+J89-J58-J50+J69-J62)</f>
        <v>0.74113855758924252</v>
      </c>
      <c r="K96" s="2"/>
      <c r="M96" s="173"/>
      <c r="O96" s="145"/>
    </row>
    <row r="97" spans="1:15" ht="6.5" customHeight="1" x14ac:dyDescent="0.15">
      <c r="O97" s="145"/>
    </row>
    <row r="98" spans="1:15" x14ac:dyDescent="0.15">
      <c r="B98" s="182" t="s">
        <v>68</v>
      </c>
      <c r="C98" s="182"/>
      <c r="D98" s="182"/>
      <c r="E98" s="182"/>
      <c r="F98" s="182"/>
      <c r="G98" s="182"/>
      <c r="H98" s="182"/>
      <c r="I98" s="182"/>
      <c r="J98" s="182"/>
      <c r="O98" s="145"/>
    </row>
    <row r="99" spans="1:15" ht="6.5" customHeight="1" x14ac:dyDescent="0.15">
      <c r="O99" s="145"/>
    </row>
    <row r="100" spans="1:15" x14ac:dyDescent="0.15">
      <c r="A100" s="6" t="s">
        <v>4</v>
      </c>
      <c r="B100" s="53" t="s">
        <v>82</v>
      </c>
      <c r="C100" s="53"/>
      <c r="D100" s="53"/>
      <c r="E100" s="53"/>
      <c r="F100" s="53"/>
      <c r="G100" s="53"/>
      <c r="H100" s="53"/>
      <c r="I100" s="53"/>
      <c r="J100" s="53"/>
      <c r="O100" s="147"/>
    </row>
    <row r="101" spans="1:15" ht="6.5" customHeight="1" x14ac:dyDescent="0.15">
      <c r="O101" s="145"/>
    </row>
    <row r="102" spans="1:15" x14ac:dyDescent="0.15">
      <c r="B102" s="18" t="s">
        <v>126</v>
      </c>
      <c r="D102" s="82">
        <v>0.25</v>
      </c>
      <c r="F102" s="18" t="s">
        <v>74</v>
      </c>
      <c r="H102" s="10">
        <v>1</v>
      </c>
      <c r="O102" s="147" t="s">
        <v>75</v>
      </c>
    </row>
    <row r="103" spans="1:15" x14ac:dyDescent="0.15">
      <c r="B103" s="18" t="s">
        <v>54</v>
      </c>
      <c r="D103" s="83">
        <v>0.05</v>
      </c>
      <c r="O103" s="147" t="s">
        <v>121</v>
      </c>
    </row>
    <row r="104" spans="1:15" x14ac:dyDescent="0.15">
      <c r="E104" s="6"/>
      <c r="F104" s="18" t="s">
        <v>63</v>
      </c>
      <c r="H104" s="84">
        <v>500</v>
      </c>
      <c r="L104" s="24"/>
      <c r="O104" s="145"/>
    </row>
    <row r="105" spans="1:15" x14ac:dyDescent="0.15">
      <c r="B105" s="18" t="s">
        <v>123</v>
      </c>
      <c r="D105" s="85">
        <f>$D$102/3</f>
        <v>8.3333333333333329E-2</v>
      </c>
      <c r="E105" s="86"/>
      <c r="F105" s="18" t="s">
        <v>64</v>
      </c>
      <c r="H105" s="105">
        <v>1.5</v>
      </c>
      <c r="L105" s="20"/>
      <c r="O105" s="145"/>
    </row>
    <row r="106" spans="1:15" x14ac:dyDescent="0.15">
      <c r="B106" s="18" t="s">
        <v>124</v>
      </c>
      <c r="D106" s="85">
        <f>$D$102/3</f>
        <v>8.3333333333333329E-2</v>
      </c>
      <c r="E106" s="86"/>
      <c r="J106" s="9"/>
      <c r="O106" s="145"/>
    </row>
    <row r="107" spans="1:15" x14ac:dyDescent="0.15">
      <c r="B107" s="18" t="s">
        <v>125</v>
      </c>
      <c r="D107" s="85">
        <f>$D$102/3</f>
        <v>8.3333333333333329E-2</v>
      </c>
      <c r="F107" s="18" t="s">
        <v>101</v>
      </c>
      <c r="H107" s="83">
        <v>0.3</v>
      </c>
      <c r="L107" s="9"/>
      <c r="O107" s="145"/>
    </row>
    <row r="108" spans="1:15" x14ac:dyDescent="0.15">
      <c r="B108" s="65" t="s">
        <v>55</v>
      </c>
      <c r="C108" s="65"/>
      <c r="D108" s="87">
        <f>SUM(D105:D107)</f>
        <v>0.25</v>
      </c>
      <c r="E108" s="86"/>
      <c r="L108" s="9"/>
      <c r="O108" s="145"/>
    </row>
    <row r="109" spans="1:15" x14ac:dyDescent="0.15">
      <c r="O109" s="145"/>
    </row>
    <row r="110" spans="1:15" x14ac:dyDescent="0.15">
      <c r="B110" s="18" t="s">
        <v>56</v>
      </c>
      <c r="D110" s="83">
        <v>0.2</v>
      </c>
      <c r="H110" s="179" t="s">
        <v>149</v>
      </c>
      <c r="I110" s="179" t="s">
        <v>55</v>
      </c>
      <c r="J110" s="179" t="s">
        <v>148</v>
      </c>
      <c r="O110" s="145"/>
    </row>
    <row r="111" spans="1:15" x14ac:dyDescent="0.15">
      <c r="B111" s="18" t="s">
        <v>57</v>
      </c>
      <c r="D111" s="83">
        <v>0.35</v>
      </c>
      <c r="F111" s="18" t="s">
        <v>146</v>
      </c>
      <c r="H111" s="175">
        <f>I111</f>
        <v>5735000</v>
      </c>
      <c r="I111" s="175">
        <f>F117*1000</f>
        <v>5735000</v>
      </c>
      <c r="J111" s="176">
        <f>1-D102</f>
        <v>0.75</v>
      </c>
      <c r="O111" s="145"/>
    </row>
    <row r="112" spans="1:15" x14ac:dyDescent="0.15">
      <c r="F112" s="18" t="s">
        <v>147</v>
      </c>
      <c r="H112" s="175">
        <f ca="1">I112*D114/D108</f>
        <v>1911666.666666667</v>
      </c>
      <c r="I112" s="175">
        <f>I113-I111</f>
        <v>1911666.666666667</v>
      </c>
      <c r="J112" s="176">
        <f>I112/I113</f>
        <v>0.25000000000000006</v>
      </c>
      <c r="N112" s="86"/>
      <c r="O112" s="145"/>
    </row>
    <row r="113" spans="1:15" x14ac:dyDescent="0.15">
      <c r="B113" s="18" t="s">
        <v>122</v>
      </c>
      <c r="D113" s="88">
        <f ca="1">IF(J146&gt;D111,D107,IF(J146&lt;D110,0,(J146-D110)/(D111-D110))*D107)</f>
        <v>8.3333333333333329E-2</v>
      </c>
      <c r="F113" s="65" t="s">
        <v>55</v>
      </c>
      <c r="G113" s="65"/>
      <c r="H113" s="177">
        <f ca="1">SUM(H111:H112)</f>
        <v>7646666.666666667</v>
      </c>
      <c r="I113" s="177">
        <f>I111/J111</f>
        <v>7646666.666666667</v>
      </c>
      <c r="J113" s="178">
        <f>I113/I113</f>
        <v>1</v>
      </c>
      <c r="L113" s="90"/>
      <c r="O113" s="145"/>
    </row>
    <row r="114" spans="1:15" x14ac:dyDescent="0.15">
      <c r="B114" s="18" t="s">
        <v>136</v>
      </c>
      <c r="D114" s="88">
        <f ca="1">D113+D106+D105</f>
        <v>0.25</v>
      </c>
      <c r="L114" s="90"/>
      <c r="O114" s="145"/>
    </row>
    <row r="115" spans="1:15" x14ac:dyDescent="0.15">
      <c r="O115" s="145"/>
    </row>
    <row r="116" spans="1:15" x14ac:dyDescent="0.15">
      <c r="B116" s="76" t="s">
        <v>50</v>
      </c>
      <c r="M116" s="161"/>
      <c r="O116" s="145"/>
    </row>
    <row r="117" spans="1:15" x14ac:dyDescent="0.15">
      <c r="B117" s="18" t="s">
        <v>30</v>
      </c>
      <c r="F117" s="72">
        <f>C23+(H105*H104)</f>
        <v>5735</v>
      </c>
      <c r="G117" s="72">
        <f>F120</f>
        <v>6193.8</v>
      </c>
      <c r="H117" s="72">
        <f t="shared" ref="H117:J117" si="7">G120</f>
        <v>6689.3040000000001</v>
      </c>
      <c r="I117" s="72">
        <f t="shared" si="7"/>
        <v>7224.4483200000004</v>
      </c>
      <c r="J117" s="72">
        <f t="shared" si="7"/>
        <v>7802.4041856000003</v>
      </c>
      <c r="M117" s="72"/>
      <c r="N117" s="141"/>
      <c r="O117" s="174"/>
    </row>
    <row r="118" spans="1:15" ht="10" customHeight="1" x14ac:dyDescent="0.15">
      <c r="B118" s="18" t="s">
        <v>81</v>
      </c>
      <c r="D118" s="83">
        <v>0.08</v>
      </c>
      <c r="F118" s="78">
        <f>F117*$D$118</f>
        <v>458.8</v>
      </c>
      <c r="G118" s="25">
        <f>G117*$D$118</f>
        <v>495.50400000000002</v>
      </c>
      <c r="H118" s="25">
        <f>H117*$D$118</f>
        <v>535.14431999999999</v>
      </c>
      <c r="I118" s="25">
        <f>I117*$D$118</f>
        <v>577.95586560000004</v>
      </c>
      <c r="J118" s="25">
        <f>J117*$D$118</f>
        <v>624.19233484800009</v>
      </c>
      <c r="L118" s="180"/>
      <c r="M118" s="159"/>
      <c r="O118" s="145"/>
    </row>
    <row r="119" spans="1:15" ht="10" customHeight="1" x14ac:dyDescent="0.15">
      <c r="B119" s="136" t="s">
        <v>105</v>
      </c>
      <c r="D119" s="137"/>
      <c r="F119" s="78">
        <f>-F69</f>
        <v>0</v>
      </c>
      <c r="G119" s="78">
        <f>-G69</f>
        <v>0</v>
      </c>
      <c r="H119" s="78">
        <f>-H69</f>
        <v>0</v>
      </c>
      <c r="I119" s="78">
        <f>-I69</f>
        <v>0</v>
      </c>
      <c r="J119" s="78">
        <f>-J69</f>
        <v>0</v>
      </c>
      <c r="M119" s="141"/>
      <c r="N119" s="25"/>
      <c r="O119" s="145"/>
    </row>
    <row r="120" spans="1:15" x14ac:dyDescent="0.15">
      <c r="B120" s="18" t="s">
        <v>31</v>
      </c>
      <c r="F120" s="72">
        <f>SUM(F117:F119)</f>
        <v>6193.8</v>
      </c>
      <c r="G120" s="72">
        <f>SUM(G117:G119)</f>
        <v>6689.3040000000001</v>
      </c>
      <c r="H120" s="72">
        <f>SUM(H117:H119)</f>
        <v>7224.4483200000004</v>
      </c>
      <c r="I120" s="72">
        <f>SUM(I117:I119)</f>
        <v>7802.4041856000003</v>
      </c>
      <c r="J120" s="72">
        <f>SUM(J117:J119)</f>
        <v>8426.5965204479999</v>
      </c>
      <c r="N120" s="25"/>
      <c r="O120" s="145"/>
    </row>
    <row r="121" spans="1:15" x14ac:dyDescent="0.15">
      <c r="O121" s="145"/>
    </row>
    <row r="122" spans="1:15" ht="10" customHeight="1" x14ac:dyDescent="0.15">
      <c r="B122" s="18" t="s">
        <v>51</v>
      </c>
      <c r="F122" s="77">
        <f>IF(N26=1,IF(F37&gt;N28,N27,0),0)</f>
        <v>0</v>
      </c>
      <c r="G122" s="73"/>
      <c r="H122" s="73"/>
      <c r="I122" s="73"/>
      <c r="J122" s="73"/>
      <c r="O122" s="145"/>
    </row>
    <row r="123" spans="1:15" ht="6.5" customHeight="1" x14ac:dyDescent="0.15">
      <c r="O123" s="145"/>
    </row>
    <row r="124" spans="1:15" x14ac:dyDescent="0.15">
      <c r="A124" s="6" t="s">
        <v>4</v>
      </c>
      <c r="B124" s="53" t="s">
        <v>43</v>
      </c>
      <c r="C124" s="53"/>
      <c r="D124" s="53"/>
      <c r="E124" s="53"/>
      <c r="F124" s="53"/>
      <c r="G124" s="53"/>
      <c r="H124" s="53"/>
      <c r="I124" s="53"/>
      <c r="J124" s="53"/>
      <c r="O124" s="145"/>
    </row>
    <row r="125" spans="1:15" ht="6.5" customHeight="1" x14ac:dyDescent="0.15">
      <c r="O125" s="145"/>
    </row>
    <row r="126" spans="1:15" x14ac:dyDescent="0.15">
      <c r="B126" s="18" t="str">
        <f>CONCATENATE("LTM "&amp;N129&amp;"")</f>
        <v>LTM EBITDA</v>
      </c>
      <c r="J126" s="72">
        <f>IF(N128="EBITDA",J40,J34)</f>
        <v>4183.0788999999986</v>
      </c>
      <c r="L126" s="30" t="s">
        <v>78</v>
      </c>
      <c r="M126" s="31"/>
      <c r="N126" s="32"/>
      <c r="O126" s="145"/>
    </row>
    <row r="127" spans="1:15" x14ac:dyDescent="0.15">
      <c r="B127" s="9" t="s">
        <v>58</v>
      </c>
      <c r="J127" s="12">
        <f>N131</f>
        <v>6.7675159235668794</v>
      </c>
      <c r="L127" s="33" t="s">
        <v>46</v>
      </c>
      <c r="N127" s="91">
        <f>N15</f>
        <v>8500</v>
      </c>
      <c r="O127" s="145"/>
    </row>
    <row r="128" spans="1:15" x14ac:dyDescent="0.15">
      <c r="B128" s="65" t="s">
        <v>84</v>
      </c>
      <c r="C128" s="65"/>
      <c r="D128" s="65"/>
      <c r="E128" s="65"/>
      <c r="F128" s="65"/>
      <c r="G128" s="65"/>
      <c r="H128" s="65"/>
      <c r="I128" s="65"/>
      <c r="J128" s="71">
        <f>J126*J127</f>
        <v>28309.053065286618</v>
      </c>
      <c r="L128" s="3" t="s">
        <v>47</v>
      </c>
      <c r="N128" s="22" t="str">
        <f>N16</f>
        <v>EBITDA</v>
      </c>
      <c r="O128" s="145"/>
    </row>
    <row r="129" spans="2:16" x14ac:dyDescent="0.15">
      <c r="B129" s="69" t="s">
        <v>59</v>
      </c>
      <c r="J129" s="25">
        <f>J70</f>
        <v>3556.451206124998</v>
      </c>
      <c r="L129" s="33" t="s">
        <v>48</v>
      </c>
      <c r="N129" s="22" t="str">
        <f>N128</f>
        <v>EBITDA</v>
      </c>
      <c r="O129" s="145"/>
    </row>
    <row r="130" spans="2:16" x14ac:dyDescent="0.15">
      <c r="B130" s="69" t="s">
        <v>60</v>
      </c>
      <c r="J130" s="92">
        <f>-J78-J87</f>
        <v>0</v>
      </c>
      <c r="L130" s="33" t="s">
        <v>49</v>
      </c>
      <c r="N130" s="23">
        <f>IF(N128="EBITDA",N127/E40,N127/E34)</f>
        <v>6.7675159235668794</v>
      </c>
      <c r="O130" s="145"/>
    </row>
    <row r="131" spans="2:16" x14ac:dyDescent="0.15">
      <c r="B131" s="65" t="s">
        <v>61</v>
      </c>
      <c r="C131" s="65"/>
      <c r="D131" s="65"/>
      <c r="E131" s="65"/>
      <c r="F131" s="65"/>
      <c r="G131" s="65"/>
      <c r="H131" s="65"/>
      <c r="I131" s="65"/>
      <c r="J131" s="71">
        <f>SUM(J128:J130)</f>
        <v>31865.504271411617</v>
      </c>
      <c r="L131" s="33" t="s">
        <v>2</v>
      </c>
      <c r="N131" s="23">
        <f>N130</f>
        <v>6.7675159235668794</v>
      </c>
      <c r="O131" s="144" t="s">
        <v>110</v>
      </c>
    </row>
    <row r="132" spans="2:16" x14ac:dyDescent="0.15">
      <c r="B132" s="9" t="s">
        <v>62</v>
      </c>
      <c r="J132" s="25">
        <f>MAX(MIN(J120-F117,J131),0)</f>
        <v>2691.5965204479999</v>
      </c>
      <c r="L132" s="19" t="s">
        <v>133</v>
      </c>
      <c r="M132" s="52"/>
      <c r="N132" s="10">
        <v>1</v>
      </c>
      <c r="O132" s="145"/>
      <c r="P132" s="21"/>
    </row>
    <row r="133" spans="2:16" x14ac:dyDescent="0.15">
      <c r="B133" s="9" t="s">
        <v>65</v>
      </c>
      <c r="J133" s="92">
        <f>MIN(MIN(F117,J131-J132),J120)</f>
        <v>5735</v>
      </c>
      <c r="P133" s="21"/>
    </row>
    <row r="134" spans="2:16" x14ac:dyDescent="0.15">
      <c r="B134" s="65" t="s">
        <v>72</v>
      </c>
      <c r="C134" s="65"/>
      <c r="D134" s="65"/>
      <c r="E134" s="65"/>
      <c r="F134" s="65"/>
      <c r="G134" s="65"/>
      <c r="H134" s="65"/>
      <c r="I134" s="65"/>
      <c r="J134" s="71">
        <f>J131-J132-J133</f>
        <v>23438.907750963619</v>
      </c>
      <c r="L134" s="25"/>
      <c r="P134" s="21"/>
    </row>
    <row r="135" spans="2:16" x14ac:dyDescent="0.15">
      <c r="B135" s="69" t="s">
        <v>132</v>
      </c>
      <c r="J135" s="25">
        <f ca="1">IF($H$102=0,0,IF($N$132=0,0,MIN((SUM(F118:J118)*(H112/H111)*(D113/D107)),$J$134)))</f>
        <v>897.19884014933336</v>
      </c>
      <c r="L135" s="161"/>
      <c r="M135" s="161"/>
      <c r="P135" s="21"/>
    </row>
    <row r="136" spans="2:16" x14ac:dyDescent="0.15">
      <c r="B136" s="65" t="s">
        <v>73</v>
      </c>
      <c r="C136" s="65"/>
      <c r="D136" s="65"/>
      <c r="E136" s="65"/>
      <c r="F136" s="65"/>
      <c r="G136" s="65"/>
      <c r="H136" s="65"/>
      <c r="I136" s="65"/>
      <c r="J136" s="71">
        <f ca="1">J134-J135</f>
        <v>22541.708910814286</v>
      </c>
      <c r="L136" s="159"/>
      <c r="M136" s="160"/>
      <c r="P136" s="21"/>
    </row>
    <row r="137" spans="2:16" x14ac:dyDescent="0.15">
      <c r="B137" s="18" t="s">
        <v>66</v>
      </c>
      <c r="I137" s="88">
        <f>D103</f>
        <v>0.05</v>
      </c>
      <c r="J137" s="25">
        <f ca="1">I137*J136</f>
        <v>1127.0854455407143</v>
      </c>
      <c r="L137" s="25"/>
      <c r="M137" s="159"/>
    </row>
    <row r="138" spans="2:16" x14ac:dyDescent="0.15">
      <c r="B138" s="18" t="s">
        <v>67</v>
      </c>
      <c r="I138" s="88">
        <f ca="1">1-I139-I137</f>
        <v>0.71249999999999991</v>
      </c>
      <c r="J138" s="25">
        <f ca="1">I138*J136</f>
        <v>16060.967598955178</v>
      </c>
      <c r="L138" s="88"/>
    </row>
    <row r="139" spans="2:16" x14ac:dyDescent="0.15">
      <c r="B139" s="18" t="s">
        <v>117</v>
      </c>
      <c r="I139" s="88">
        <f ca="1">IF(H102=0,0,(D105+D106+D113)*(1-$I$137))</f>
        <v>0.23749999999999999</v>
      </c>
      <c r="J139" s="25">
        <f ca="1">I139*J136</f>
        <v>5353.6558663183923</v>
      </c>
      <c r="L139" s="25"/>
    </row>
    <row r="140" spans="2:16" x14ac:dyDescent="0.15">
      <c r="B140" s="75" t="s">
        <v>44</v>
      </c>
      <c r="C140" s="75"/>
      <c r="D140" s="75"/>
      <c r="E140" s="75"/>
      <c r="F140" s="75"/>
      <c r="G140" s="75"/>
      <c r="H140" s="75"/>
      <c r="I140" s="93">
        <f ca="1">SUM(I137:I139)-100%</f>
        <v>0</v>
      </c>
      <c r="J140" s="93">
        <f ca="1">SUM(J137:J139)-J136</f>
        <v>0</v>
      </c>
      <c r="M140" s="72"/>
    </row>
    <row r="141" spans="2:16" x14ac:dyDescent="0.15">
      <c r="B141" s="75"/>
      <c r="C141" s="75"/>
      <c r="D141" s="75"/>
      <c r="E141" s="75"/>
      <c r="F141" s="75"/>
      <c r="G141" s="75"/>
      <c r="H141" s="75"/>
      <c r="I141" s="93"/>
      <c r="J141" s="93"/>
    </row>
    <row r="142" spans="2:16" x14ac:dyDescent="0.15">
      <c r="B142" s="138" t="s">
        <v>109</v>
      </c>
      <c r="C142" s="139"/>
      <c r="D142" s="139"/>
      <c r="E142" s="139"/>
      <c r="F142" s="139"/>
      <c r="G142" s="139"/>
      <c r="H142" s="139"/>
      <c r="I142" s="140"/>
      <c r="J142" s="128">
        <f>IF(N24="LLC",H107*SUM(F51:J51),0)</f>
        <v>0</v>
      </c>
    </row>
    <row r="143" spans="2:16" x14ac:dyDescent="0.15">
      <c r="B143" s="76"/>
    </row>
    <row r="144" spans="2:16" x14ac:dyDescent="0.15">
      <c r="B144" s="94" t="s">
        <v>111</v>
      </c>
      <c r="C144" s="95"/>
      <c r="D144" s="70"/>
      <c r="E144" s="106">
        <f>-C23</f>
        <v>-4985</v>
      </c>
      <c r="F144" s="106">
        <f>F69</f>
        <v>0</v>
      </c>
      <c r="G144" s="106">
        <f>G69</f>
        <v>0</v>
      </c>
      <c r="H144" s="106">
        <f>H69</f>
        <v>0</v>
      </c>
      <c r="I144" s="106">
        <f>I69</f>
        <v>0</v>
      </c>
      <c r="J144" s="107">
        <f ca="1">J138+J132+J133+J142</f>
        <v>24487.564119403178</v>
      </c>
      <c r="M144" s="21"/>
      <c r="P144" s="21"/>
    </row>
    <row r="145" spans="1:13" x14ac:dyDescent="0.15">
      <c r="B145" s="96"/>
      <c r="C145" s="62"/>
      <c r="D145" s="62"/>
      <c r="E145" s="62"/>
      <c r="F145" s="62"/>
      <c r="G145" s="62"/>
      <c r="H145" s="62"/>
      <c r="I145" s="62"/>
      <c r="J145" s="97"/>
      <c r="M145" s="21"/>
    </row>
    <row r="146" spans="1:13" x14ac:dyDescent="0.15">
      <c r="B146" s="96"/>
      <c r="C146" s="62"/>
      <c r="D146" s="62"/>
      <c r="E146" s="62"/>
      <c r="F146" s="62"/>
      <c r="G146" s="62"/>
      <c r="H146" s="98" t="s">
        <v>112</v>
      </c>
      <c r="I146" s="62"/>
      <c r="J146" s="99">
        <f ca="1">IRR(E144:J144)</f>
        <v>0.37485242716641731</v>
      </c>
    </row>
    <row r="147" spans="1:13" x14ac:dyDescent="0.15">
      <c r="B147" s="96"/>
      <c r="C147" s="62"/>
      <c r="D147" s="62"/>
      <c r="E147" s="62"/>
      <c r="F147" s="62"/>
      <c r="G147" s="62"/>
      <c r="H147" s="98" t="s">
        <v>113</v>
      </c>
      <c r="I147" s="62"/>
      <c r="J147" s="100">
        <f ca="1">J144/-E144</f>
        <v>4.912249572598431</v>
      </c>
    </row>
    <row r="148" spans="1:13" x14ac:dyDescent="0.15">
      <c r="B148" s="101"/>
      <c r="C148" s="102"/>
      <c r="D148" s="102"/>
      <c r="E148" s="102"/>
      <c r="F148" s="102"/>
      <c r="G148" s="102"/>
      <c r="H148" s="26" t="s">
        <v>118</v>
      </c>
      <c r="I148" s="102"/>
      <c r="J148" s="103">
        <f ca="1">J139+J135</f>
        <v>6250.8547064677259</v>
      </c>
    </row>
    <row r="149" spans="1:13" x14ac:dyDescent="0.15">
      <c r="A149" s="6" t="s">
        <v>4</v>
      </c>
    </row>
  </sheetData>
  <mergeCells count="2">
    <mergeCell ref="B28:J28"/>
    <mergeCell ref="B98:J98"/>
  </mergeCells>
  <conditionalFormatting sqref="B34:L35">
    <cfRule type="expression" dxfId="5" priority="2">
      <formula>$N$16="EBITDA"</formula>
    </cfRule>
  </conditionalFormatting>
  <conditionalFormatting sqref="F38:J38">
    <cfRule type="expression" dxfId="4" priority="1">
      <formula>$N$16="ARR"</formula>
    </cfRule>
  </conditionalFormatting>
  <dataValidations count="3">
    <dataValidation type="list" allowBlank="1" showInputMessage="1" showErrorMessage="1" sqref="N26 H102 N132 N23" xr:uid="{6953D3F5-2B5F-473F-97E5-4F989CA2855A}">
      <formula1>"0,1"</formula1>
    </dataValidation>
    <dataValidation type="list" allowBlank="1" showInputMessage="1" showErrorMessage="1" sqref="N16" xr:uid="{3D7B40DB-45FF-4AA6-8459-D0F02D3534C5}">
      <formula1>"EBITDA, ARR"</formula1>
    </dataValidation>
    <dataValidation type="list" allowBlank="1" showInputMessage="1" showErrorMessage="1" sqref="N24" xr:uid="{63398CA3-8401-4522-8470-95E730899FCF}">
      <formula1>"LLC, C-corp"</formula1>
    </dataValidation>
  </dataValidations>
  <hyperlinks>
    <hyperlink ref="O18" r:id="rId1" display="https://www.gsb.stanford.edu/faculty-research/case-studies/2024-search-fund-study" xr:uid="{280B2ECE-D5CA-4C82-83E9-299BB6943352}"/>
    <hyperlink ref="O41" r:id="rId2" display="Research" xr:uid="{E1FCC628-FE7B-4FB7-8C43-515A30A748CA}"/>
    <hyperlink ref="O25" r:id="rId3" xr:uid="{01D03FCE-A00E-4A9E-901D-734A36B3AE7C}"/>
  </hyperlinks>
  <pageMargins left="0.7" right="0.7" top="0.75" bottom="0.75" header="0.3" footer="0.3"/>
  <pageSetup orientation="portrait"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510B-D9DC-4AD1-BC81-E935B1400A8E}">
  <dimension ref="A1:XFD149"/>
  <sheetViews>
    <sheetView showGridLines="0" zoomScaleNormal="100" zoomScaleSheetLayoutView="69" workbookViewId="0">
      <selection activeCell="B3" sqref="B3"/>
    </sheetView>
  </sheetViews>
  <sheetFormatPr baseColWidth="10" defaultColWidth="8.6640625" defaultRowHeight="11" x14ac:dyDescent="0.15"/>
  <cols>
    <col min="1" max="1" width="2.6640625" style="6" customWidth="1"/>
    <col min="2" max="2" width="25.6640625" style="18" customWidth="1"/>
    <col min="3" max="10" width="8.6640625" style="18" customWidth="1"/>
    <col min="11" max="11" width="2.6640625" style="18" customWidth="1"/>
    <col min="12" max="12" width="8.6640625" style="2" customWidth="1"/>
    <col min="13" max="19" width="8.6640625" style="18" customWidth="1"/>
    <col min="20" max="16384" width="8.6640625" style="18"/>
  </cols>
  <sheetData>
    <row r="1" spans="1:22" x14ac:dyDescent="0.15">
      <c r="A1" s="18"/>
    </row>
    <row r="2" spans="1:22" ht="25" x14ac:dyDescent="0.25">
      <c r="A2" s="6" t="s">
        <v>4</v>
      </c>
      <c r="B2" s="27" t="s">
        <v>156</v>
      </c>
      <c r="C2" s="28"/>
      <c r="D2" s="28"/>
      <c r="E2" s="28"/>
      <c r="F2" s="28"/>
      <c r="G2" s="28"/>
      <c r="H2" s="28"/>
      <c r="I2" s="28"/>
      <c r="J2" s="28"/>
      <c r="K2" s="28"/>
      <c r="L2" s="1"/>
      <c r="M2" s="28"/>
      <c r="N2" s="28"/>
      <c r="O2" s="28"/>
      <c r="P2" s="28"/>
      <c r="Q2" s="28"/>
      <c r="R2" s="28"/>
      <c r="S2" s="28"/>
    </row>
    <row r="3" spans="1:22" ht="6.5" customHeight="1" x14ac:dyDescent="0.15"/>
    <row r="4" spans="1:22" ht="10.5" customHeight="1" x14ac:dyDescent="0.15">
      <c r="B4" s="113" t="s">
        <v>86</v>
      </c>
      <c r="C4" s="70"/>
      <c r="D4" s="70"/>
      <c r="E4" s="70"/>
      <c r="F4" s="70"/>
      <c r="G4" s="70"/>
      <c r="H4" s="70"/>
      <c r="I4" s="70"/>
      <c r="J4" s="70"/>
      <c r="K4" s="70"/>
      <c r="L4" s="108"/>
      <c r="M4" s="70"/>
      <c r="N4" s="70"/>
      <c r="O4" s="70"/>
      <c r="P4" s="70"/>
      <c r="Q4" s="70"/>
      <c r="R4" s="70"/>
      <c r="S4" s="109"/>
    </row>
    <row r="5" spans="1:22" ht="10.5" customHeight="1" x14ac:dyDescent="0.15">
      <c r="B5" s="115" t="s">
        <v>139</v>
      </c>
      <c r="C5" s="62"/>
      <c r="D5" s="62"/>
      <c r="E5" s="62"/>
      <c r="F5" s="62"/>
      <c r="G5" s="62"/>
      <c r="H5" s="62"/>
      <c r="I5" s="62"/>
      <c r="J5" s="62"/>
      <c r="K5" s="62"/>
      <c r="L5" s="110"/>
      <c r="M5" s="62"/>
      <c r="N5" s="62"/>
      <c r="O5" s="62"/>
      <c r="P5" s="62"/>
      <c r="Q5" s="62"/>
      <c r="R5" s="62"/>
      <c r="S5" s="97"/>
      <c r="V5" s="119"/>
    </row>
    <row r="6" spans="1:22" ht="10.5" customHeight="1" x14ac:dyDescent="0.15">
      <c r="B6" s="115" t="s">
        <v>138</v>
      </c>
      <c r="C6" s="62"/>
      <c r="D6" s="62"/>
      <c r="E6" s="62"/>
      <c r="F6" s="62"/>
      <c r="G6" s="62"/>
      <c r="H6" s="62"/>
      <c r="I6" s="62"/>
      <c r="J6" s="62"/>
      <c r="K6" s="62"/>
      <c r="L6" s="110"/>
      <c r="M6" s="62"/>
      <c r="N6" s="62"/>
      <c r="O6" s="62"/>
      <c r="P6" s="62"/>
      <c r="Q6" s="62"/>
      <c r="R6" s="62"/>
      <c r="S6" s="97"/>
    </row>
    <row r="7" spans="1:22" ht="10.5" customHeight="1" x14ac:dyDescent="0.15">
      <c r="B7" s="115" t="s">
        <v>90</v>
      </c>
      <c r="C7" s="62"/>
      <c r="D7" s="62"/>
      <c r="E7" s="62"/>
      <c r="F7" s="62"/>
      <c r="G7" s="62"/>
      <c r="H7" s="62"/>
      <c r="I7" s="62"/>
      <c r="J7" s="62"/>
      <c r="K7" s="62"/>
      <c r="L7" s="110"/>
      <c r="M7" s="62"/>
      <c r="N7" s="62"/>
      <c r="O7" s="62"/>
      <c r="P7" s="62"/>
      <c r="Q7" s="62"/>
      <c r="R7" s="62"/>
      <c r="S7" s="97"/>
    </row>
    <row r="8" spans="1:22" ht="10.5" customHeight="1" x14ac:dyDescent="0.15">
      <c r="B8" s="114" t="s">
        <v>87</v>
      </c>
      <c r="C8" s="62"/>
      <c r="D8" s="62"/>
      <c r="E8" s="62"/>
      <c r="F8" s="62"/>
      <c r="G8" s="62"/>
      <c r="H8" s="62"/>
      <c r="I8" s="62"/>
      <c r="J8" s="62"/>
      <c r="K8" s="62"/>
      <c r="L8" s="110"/>
      <c r="M8" s="62"/>
      <c r="N8" s="62"/>
      <c r="O8" s="62"/>
      <c r="P8" s="62"/>
      <c r="Q8" s="62"/>
      <c r="R8" s="62"/>
      <c r="S8" s="97"/>
    </row>
    <row r="9" spans="1:22" ht="10.5" customHeight="1" x14ac:dyDescent="0.15">
      <c r="B9" s="115" t="s">
        <v>115</v>
      </c>
      <c r="C9" s="62"/>
      <c r="D9" s="62"/>
      <c r="E9" s="62"/>
      <c r="F9" s="62"/>
      <c r="G9" s="62"/>
      <c r="H9" s="62"/>
      <c r="I9" s="62"/>
      <c r="J9" s="62"/>
      <c r="K9" s="62"/>
      <c r="L9" s="110"/>
      <c r="M9" s="62"/>
      <c r="N9" s="62"/>
      <c r="O9" s="62"/>
      <c r="P9" s="62"/>
      <c r="Q9" s="62"/>
      <c r="R9" s="62"/>
      <c r="S9" s="97"/>
    </row>
    <row r="10" spans="1:22" ht="10.5" customHeight="1" x14ac:dyDescent="0.15">
      <c r="B10" s="116" t="s">
        <v>88</v>
      </c>
      <c r="C10" s="102"/>
      <c r="D10" s="102"/>
      <c r="E10" s="102"/>
      <c r="F10" s="102"/>
      <c r="G10" s="102"/>
      <c r="H10" s="102"/>
      <c r="I10" s="102"/>
      <c r="J10" s="102"/>
      <c r="K10" s="102"/>
      <c r="L10" s="111"/>
      <c r="M10" s="102"/>
      <c r="N10" s="102"/>
      <c r="O10" s="102"/>
      <c r="P10" s="102"/>
      <c r="Q10" s="102"/>
      <c r="R10" s="102"/>
      <c r="S10" s="112"/>
    </row>
    <row r="11" spans="1:22" ht="6.5" customHeight="1" x14ac:dyDescent="0.15"/>
    <row r="12" spans="1:22" x14ac:dyDescent="0.15">
      <c r="B12" s="21" t="s">
        <v>5</v>
      </c>
      <c r="L12" s="8" t="s">
        <v>44</v>
      </c>
      <c r="M12" s="29"/>
      <c r="N12" s="16" t="str">
        <f>IF(SUM(F67:J67)&gt;0,"Cash Shortfall","OK")</f>
        <v>OK</v>
      </c>
      <c r="O12" s="144" t="s">
        <v>89</v>
      </c>
    </row>
    <row r="13" spans="1:22" ht="6.5" customHeight="1" x14ac:dyDescent="0.15">
      <c r="O13" s="145"/>
    </row>
    <row r="14" spans="1:22" ht="10.5" customHeight="1" x14ac:dyDescent="0.15">
      <c r="A14" s="6" t="s">
        <v>4</v>
      </c>
      <c r="B14" s="30" t="s">
        <v>6</v>
      </c>
      <c r="C14" s="31"/>
      <c r="D14" s="31"/>
      <c r="E14" s="32"/>
      <c r="G14" s="30" t="s">
        <v>7</v>
      </c>
      <c r="H14" s="31"/>
      <c r="I14" s="31"/>
      <c r="J14" s="32"/>
      <c r="L14" s="30" t="s">
        <v>39</v>
      </c>
      <c r="M14" s="31"/>
      <c r="N14" s="32"/>
      <c r="O14" s="145"/>
    </row>
    <row r="15" spans="1:22" x14ac:dyDescent="0.15">
      <c r="B15" s="33"/>
      <c r="C15" s="122" t="s">
        <v>10</v>
      </c>
      <c r="D15" s="122" t="str">
        <f>CONCATENATE("x",$N$16)</f>
        <v>xARR</v>
      </c>
      <c r="E15" s="123" t="s">
        <v>11</v>
      </c>
      <c r="G15" s="33"/>
      <c r="H15" s="122" t="s">
        <v>10</v>
      </c>
      <c r="I15" s="122" t="str">
        <f>CONCATENATE("x",$N$16)</f>
        <v>xARR</v>
      </c>
      <c r="J15" s="123" t="s">
        <v>11</v>
      </c>
      <c r="L15" s="3" t="s">
        <v>3</v>
      </c>
      <c r="N15" s="17">
        <v>15000</v>
      </c>
      <c r="O15" s="144" t="s">
        <v>85</v>
      </c>
    </row>
    <row r="16" spans="1:22" x14ac:dyDescent="0.15">
      <c r="B16" s="33" t="s">
        <v>8</v>
      </c>
      <c r="C16" s="34">
        <f>D16*N17</f>
        <v>2539</v>
      </c>
      <c r="D16" s="35">
        <f>N20</f>
        <v>0.5</v>
      </c>
      <c r="E16" s="13">
        <f>C16/C25</f>
        <v>0.15770186335403727</v>
      </c>
      <c r="F16" s="36"/>
      <c r="G16" s="37" t="s">
        <v>3</v>
      </c>
      <c r="H16" s="34">
        <f>N15</f>
        <v>15000</v>
      </c>
      <c r="I16" s="35">
        <f>H16/$N$17</f>
        <v>2.9539188656951554</v>
      </c>
      <c r="J16" s="13">
        <f>H16/$H$25</f>
        <v>0.93167701863354035</v>
      </c>
      <c r="L16" s="3" t="s">
        <v>49</v>
      </c>
      <c r="N16" s="11" t="s">
        <v>140</v>
      </c>
    </row>
    <row r="17" spans="1:23" x14ac:dyDescent="0.15">
      <c r="B17" s="38" t="s">
        <v>0</v>
      </c>
      <c r="C17" s="39">
        <f>N21</f>
        <v>1000</v>
      </c>
      <c r="D17" s="40">
        <f>C17/$N$17</f>
        <v>0.19692792437967704</v>
      </c>
      <c r="E17" s="14">
        <f>C17/C25</f>
        <v>6.2111801242236024E-2</v>
      </c>
      <c r="F17" s="36"/>
      <c r="G17" s="37" t="s">
        <v>98</v>
      </c>
      <c r="H17" s="36">
        <f>H16*N19</f>
        <v>750</v>
      </c>
      <c r="I17" s="35">
        <f>H17/$N$17</f>
        <v>0.14769594328475777</v>
      </c>
      <c r="J17" s="13">
        <f>H17/$H$25</f>
        <v>4.6583850931677016E-2</v>
      </c>
      <c r="L17" s="3" t="str">
        <f>IF(N16="ARR","Ending ARR","LTM EBITDA")</f>
        <v>Ending ARR</v>
      </c>
      <c r="N17" s="162">
        <f>IF(N16="ARR",E34,E40)</f>
        <v>5078</v>
      </c>
    </row>
    <row r="18" spans="1:23" x14ac:dyDescent="0.15">
      <c r="B18" s="33" t="s">
        <v>33</v>
      </c>
      <c r="C18" s="34">
        <f>SUM(C16:C17)</f>
        <v>3539</v>
      </c>
      <c r="D18" s="35">
        <f>C18/$N$17</f>
        <v>0.69692792437967699</v>
      </c>
      <c r="E18" s="13">
        <f>C18/$C$25</f>
        <v>0.2198136645962733</v>
      </c>
      <c r="F18" s="36"/>
      <c r="G18" s="37" t="s">
        <v>37</v>
      </c>
      <c r="H18" s="41">
        <f>N22</f>
        <v>350</v>
      </c>
      <c r="I18" s="35">
        <f>H18/$N$17</f>
        <v>6.8924773532886965E-2</v>
      </c>
      <c r="J18" s="13">
        <f>H18/$H$25</f>
        <v>2.1739130434782608E-2</v>
      </c>
      <c r="L18" s="3" t="s">
        <v>127</v>
      </c>
      <c r="N18" s="157">
        <v>46022</v>
      </c>
      <c r="O18" s="149" t="s">
        <v>76</v>
      </c>
    </row>
    <row r="19" spans="1:23" x14ac:dyDescent="0.15">
      <c r="B19" s="33"/>
      <c r="C19" s="43"/>
      <c r="D19" s="44"/>
      <c r="E19" s="45"/>
      <c r="F19" s="36"/>
      <c r="G19" s="37"/>
      <c r="H19" s="36"/>
      <c r="I19" s="42"/>
      <c r="J19" s="13"/>
      <c r="L19" s="3" t="s">
        <v>40</v>
      </c>
      <c r="N19" s="4">
        <v>0.05</v>
      </c>
    </row>
    <row r="20" spans="1:23" x14ac:dyDescent="0.15">
      <c r="B20" s="121" t="s">
        <v>96</v>
      </c>
      <c r="C20" s="43"/>
      <c r="D20" s="124" t="s">
        <v>97</v>
      </c>
      <c r="E20" s="45"/>
      <c r="F20" s="36"/>
      <c r="G20" s="37"/>
      <c r="H20" s="36"/>
      <c r="I20" s="42"/>
      <c r="J20" s="13"/>
      <c r="L20" s="3" t="str">
        <f>CONCATENATE("Term Debt x",N16)</f>
        <v>Term Debt xARR</v>
      </c>
      <c r="N20" s="7">
        <v>0.5</v>
      </c>
      <c r="O20" s="145"/>
      <c r="R20" s="119"/>
    </row>
    <row r="21" spans="1:23" x14ac:dyDescent="0.15">
      <c r="B21" s="33" t="s">
        <v>114</v>
      </c>
      <c r="C21" s="79">
        <f>D21*C23</f>
        <v>1256.1000000000001</v>
      </c>
      <c r="D21" s="130">
        <f>N25</f>
        <v>0.1</v>
      </c>
      <c r="E21" s="127">
        <f>C21/C25</f>
        <v>7.8018633540372681E-2</v>
      </c>
      <c r="F21" s="36"/>
      <c r="G21" s="37"/>
      <c r="H21" s="36"/>
      <c r="I21" s="42"/>
      <c r="J21" s="13"/>
      <c r="L21" s="3" t="s">
        <v>41</v>
      </c>
      <c r="N21" s="17">
        <v>1000</v>
      </c>
      <c r="O21" s="144"/>
      <c r="P21" s="75"/>
      <c r="R21" s="119"/>
    </row>
    <row r="22" spans="1:23" x14ac:dyDescent="0.15">
      <c r="B22" s="33" t="s">
        <v>9</v>
      </c>
      <c r="C22" s="41">
        <f>D22*C23</f>
        <v>11304.9</v>
      </c>
      <c r="D22" s="130">
        <f>1-D21</f>
        <v>0.9</v>
      </c>
      <c r="E22" s="13">
        <f>C22/C25</f>
        <v>0.70216770186335398</v>
      </c>
      <c r="F22" s="36"/>
      <c r="G22" s="37"/>
      <c r="H22" s="36"/>
      <c r="I22" s="42"/>
      <c r="J22" s="13"/>
      <c r="L22" s="37" t="s">
        <v>37</v>
      </c>
      <c r="N22" s="17">
        <v>350</v>
      </c>
      <c r="O22" s="144" t="s">
        <v>135</v>
      </c>
      <c r="P22" s="75"/>
      <c r="R22" s="119"/>
    </row>
    <row r="23" spans="1:23" x14ac:dyDescent="0.15">
      <c r="B23" s="120" t="s">
        <v>95</v>
      </c>
      <c r="C23" s="125">
        <f>C25-C18</f>
        <v>12561</v>
      </c>
      <c r="D23" s="131">
        <f>SUM(C21:C22)/C23</f>
        <v>1</v>
      </c>
      <c r="E23" s="129">
        <f>C23/C25</f>
        <v>0.78018633540372673</v>
      </c>
      <c r="F23" s="36"/>
      <c r="G23" s="37"/>
      <c r="H23" s="36"/>
      <c r="I23" s="36"/>
      <c r="J23" s="45"/>
      <c r="L23" s="37" t="s">
        <v>102</v>
      </c>
      <c r="N23" s="10">
        <v>0</v>
      </c>
      <c r="O23" s="144" t="s">
        <v>108</v>
      </c>
      <c r="P23" s="75"/>
      <c r="R23" s="119"/>
      <c r="T23" s="51"/>
      <c r="U23" s="51"/>
      <c r="V23" s="51"/>
      <c r="W23" s="51"/>
    </row>
    <row r="24" spans="1:23" x14ac:dyDescent="0.15">
      <c r="B24" s="33"/>
      <c r="E24" s="46"/>
      <c r="G24" s="33"/>
      <c r="J24" s="46"/>
      <c r="L24" s="37" t="s">
        <v>99</v>
      </c>
      <c r="N24" s="10" t="s">
        <v>137</v>
      </c>
      <c r="O24" s="144" t="s">
        <v>128</v>
      </c>
      <c r="P24" s="75"/>
      <c r="U24" s="119"/>
    </row>
    <row r="25" spans="1:23" x14ac:dyDescent="0.15">
      <c r="B25" s="48" t="s">
        <v>12</v>
      </c>
      <c r="C25" s="49">
        <f>H25</f>
        <v>16100</v>
      </c>
      <c r="D25" s="50">
        <f>C25/$N$17</f>
        <v>3.1705395825128004</v>
      </c>
      <c r="E25" s="15">
        <f>C25/$H$25</f>
        <v>1</v>
      </c>
      <c r="F25" s="51"/>
      <c r="G25" s="48" t="s">
        <v>13</v>
      </c>
      <c r="H25" s="49">
        <f>SUM(H16:H18)</f>
        <v>16100</v>
      </c>
      <c r="I25" s="50">
        <f>H25/$N$17</f>
        <v>3.1705395825128004</v>
      </c>
      <c r="J25" s="15">
        <f>H25/$H$25</f>
        <v>1</v>
      </c>
      <c r="L25" s="37" t="s">
        <v>114</v>
      </c>
      <c r="N25" s="126">
        <v>0.1</v>
      </c>
      <c r="O25" s="151" t="s">
        <v>129</v>
      </c>
    </row>
    <row r="26" spans="1:23" x14ac:dyDescent="0.15">
      <c r="L26" s="3" t="s">
        <v>51</v>
      </c>
      <c r="N26" s="10">
        <v>0</v>
      </c>
      <c r="O26" s="144" t="s">
        <v>134</v>
      </c>
    </row>
    <row r="27" spans="1:23" x14ac:dyDescent="0.15">
      <c r="L27" s="33" t="s">
        <v>52</v>
      </c>
      <c r="N27" s="47">
        <v>500</v>
      </c>
    </row>
    <row r="28" spans="1:23" x14ac:dyDescent="0.15">
      <c r="B28" s="182" t="s">
        <v>14</v>
      </c>
      <c r="C28" s="182"/>
      <c r="D28" s="182"/>
      <c r="E28" s="182"/>
      <c r="F28" s="182"/>
      <c r="G28" s="182"/>
      <c r="H28" s="182"/>
      <c r="I28" s="182"/>
      <c r="J28" s="182"/>
      <c r="L28" s="19" t="s">
        <v>71</v>
      </c>
      <c r="M28" s="52"/>
      <c r="N28" s="104">
        <v>5000</v>
      </c>
    </row>
    <row r="29" spans="1:23" ht="6.5" customHeight="1" x14ac:dyDescent="0.15"/>
    <row r="30" spans="1:23" x14ac:dyDescent="0.15">
      <c r="E30" s="152" t="s">
        <v>131</v>
      </c>
      <c r="J30" s="152" t="s">
        <v>130</v>
      </c>
    </row>
    <row r="31" spans="1:23" x14ac:dyDescent="0.15">
      <c r="A31" s="6" t="s">
        <v>4</v>
      </c>
      <c r="B31" s="53" t="s">
        <v>20</v>
      </c>
      <c r="C31" s="53"/>
      <c r="D31" s="53"/>
      <c r="E31" s="53"/>
      <c r="F31" s="53"/>
      <c r="G31" s="53"/>
      <c r="H31" s="53"/>
      <c r="I31" s="53"/>
      <c r="J31" s="53"/>
      <c r="L31" s="53" t="s">
        <v>79</v>
      </c>
      <c r="M31" s="54"/>
      <c r="N31" s="55"/>
      <c r="O31" s="55"/>
      <c r="P31" s="55"/>
      <c r="Q31" s="55"/>
      <c r="R31" s="55"/>
      <c r="S31" s="55"/>
    </row>
    <row r="32" spans="1:23" ht="6.5" customHeight="1" x14ac:dyDescent="0.15">
      <c r="L32" s="6"/>
      <c r="O32" s="145"/>
    </row>
    <row r="33" spans="2:19 16384:16384" x14ac:dyDescent="0.15">
      <c r="C33" s="154">
        <f>EDATE(D33,-12)</f>
        <v>45291</v>
      </c>
      <c r="D33" s="154">
        <f>EDATE(E33,-12)</f>
        <v>45657</v>
      </c>
      <c r="E33" s="154">
        <f>N18</f>
        <v>46022</v>
      </c>
      <c r="F33" s="155">
        <f>EDATE(E33,12)</f>
        <v>46387</v>
      </c>
      <c r="G33" s="155">
        <f>EDATE(F33,12)</f>
        <v>46752</v>
      </c>
      <c r="H33" s="155">
        <f>EDATE(G33,12)</f>
        <v>47118</v>
      </c>
      <c r="I33" s="155">
        <f>EDATE(H33,12)</f>
        <v>47483</v>
      </c>
      <c r="J33" s="155">
        <f>EDATE(I33,12)</f>
        <v>47848</v>
      </c>
      <c r="L33" s="156" t="s">
        <v>91</v>
      </c>
    </row>
    <row r="34" spans="2:19 16384:16384" x14ac:dyDescent="0.15">
      <c r="B34" s="18" t="s">
        <v>141</v>
      </c>
      <c r="C34" s="168">
        <v>2138</v>
      </c>
      <c r="D34" s="168">
        <v>3392</v>
      </c>
      <c r="E34" s="168">
        <v>5078</v>
      </c>
      <c r="F34" s="170">
        <f>E34*(1+F35)</f>
        <v>7203.5</v>
      </c>
      <c r="G34" s="170">
        <f t="shared" ref="G34:J34" si="0">F34*(1+G35)</f>
        <v>9990.5999999999985</v>
      </c>
      <c r="H34" s="170">
        <f t="shared" si="0"/>
        <v>13527.2724</v>
      </c>
      <c r="I34" s="170">
        <f t="shared" si="0"/>
        <v>18120.513312658528</v>
      </c>
      <c r="J34" s="170">
        <f t="shared" si="0"/>
        <v>23338.085970924141</v>
      </c>
      <c r="L34" s="117">
        <f>_xlfn.RRI(2,C34,E34)</f>
        <v>0.541141437932249</v>
      </c>
      <c r="O34" s="144" t="s">
        <v>151</v>
      </c>
    </row>
    <row r="35" spans="2:19 16384:16384" x14ac:dyDescent="0.15">
      <c r="B35" s="21" t="s">
        <v>15</v>
      </c>
      <c r="C35" s="154"/>
      <c r="D35" s="169">
        <f>D34/C34-1</f>
        <v>0.58652946679139384</v>
      </c>
      <c r="E35" s="169">
        <f>E34/D34-1</f>
        <v>0.49705188679245293</v>
      </c>
      <c r="F35" s="181">
        <v>0.41857030326900357</v>
      </c>
      <c r="G35" s="181">
        <v>0.38690914138960197</v>
      </c>
      <c r="H35" s="181">
        <v>0.35399999999999998</v>
      </c>
      <c r="I35" s="181">
        <v>0.33955410794111973</v>
      </c>
      <c r="J35" s="181">
        <v>0.2879373541046848</v>
      </c>
      <c r="L35" s="156"/>
    </row>
    <row r="36" spans="2:19 16384:16384" x14ac:dyDescent="0.15">
      <c r="C36" s="154"/>
      <c r="D36" s="169"/>
      <c r="E36" s="169"/>
      <c r="F36" s="171"/>
      <c r="G36" s="171"/>
      <c r="H36" s="171"/>
      <c r="I36" s="171"/>
      <c r="J36" s="171"/>
      <c r="L36" s="156"/>
    </row>
    <row r="37" spans="2:19 16384:16384" x14ac:dyDescent="0.15">
      <c r="B37" s="18" t="s">
        <v>154</v>
      </c>
      <c r="C37" s="56">
        <v>1657</v>
      </c>
      <c r="D37" s="56">
        <v>2765</v>
      </c>
      <c r="E37" s="56">
        <v>4235</v>
      </c>
      <c r="F37" s="57">
        <f>IF(N16="ARR",AVERAGE(F34,E34),E37*(1+F38))</f>
        <v>6140.75</v>
      </c>
      <c r="G37" s="57">
        <f>IF(O16="ARR",AVERAGE(G34,F34),F37*(1+G38))</f>
        <v>8597.0499999999993</v>
      </c>
      <c r="H37" s="57">
        <f>IF(P16="ARR",AVERAGE(H34,G34),G37*(1+H38))</f>
        <v>11691.987999999998</v>
      </c>
      <c r="I37" s="57">
        <f>IF(Q16="ARR",AVERAGE(I34,H34),H37*(1+I38))</f>
        <v>15667.263919999998</v>
      </c>
      <c r="J37" s="57">
        <f>IF(R16="ARR",AVERAGE(J34,I34),I37*(1+J38))</f>
        <v>20524.115735199997</v>
      </c>
      <c r="L37" s="117">
        <f>_xlfn.RRI(2,C37,E37)</f>
        <v>0.59869439791096069</v>
      </c>
      <c r="O37" s="144" t="s">
        <v>119</v>
      </c>
    </row>
    <row r="38" spans="2:19 16384:16384" ht="10" customHeight="1" x14ac:dyDescent="0.15">
      <c r="B38" s="21" t="s">
        <v>15</v>
      </c>
      <c r="C38" s="58"/>
      <c r="D38" s="59">
        <f>D37/C37-1</f>
        <v>0.66867833433916712</v>
      </c>
      <c r="E38" s="59">
        <f>E37/D37-1</f>
        <v>0.53164556962025311</v>
      </c>
      <c r="F38" s="60">
        <v>0.45</v>
      </c>
      <c r="G38" s="60">
        <v>0.4</v>
      </c>
      <c r="H38" s="60">
        <v>0.36</v>
      </c>
      <c r="I38" s="60">
        <v>0.34</v>
      </c>
      <c r="J38" s="60">
        <v>0.31</v>
      </c>
      <c r="L38" s="118"/>
      <c r="O38" s="144" t="s">
        <v>152</v>
      </c>
      <c r="XFD38" s="61"/>
    </row>
    <row r="39" spans="2:19 16384:16384" x14ac:dyDescent="0.15">
      <c r="C39" s="62"/>
      <c r="D39" s="62"/>
      <c r="E39" s="62"/>
      <c r="O39" s="146"/>
    </row>
    <row r="40" spans="2:19 16384:16384" x14ac:dyDescent="0.15">
      <c r="B40" s="18" t="s">
        <v>153</v>
      </c>
      <c r="C40" s="56">
        <v>-34</v>
      </c>
      <c r="D40" s="56">
        <v>105</v>
      </c>
      <c r="E40" s="56">
        <v>405</v>
      </c>
      <c r="F40" s="57">
        <f>F41*F37</f>
        <v>184.2225</v>
      </c>
      <c r="G40" s="57">
        <f t="shared" ref="G40:J40" si="1">G41*G37</f>
        <v>429.85249999999996</v>
      </c>
      <c r="H40" s="57">
        <f t="shared" si="1"/>
        <v>1332.8866319999997</v>
      </c>
      <c r="I40" s="57">
        <f t="shared" si="1"/>
        <v>1880.0716703999997</v>
      </c>
      <c r="J40" s="57">
        <f t="shared" si="1"/>
        <v>2873.3762029280001</v>
      </c>
      <c r="L40" s="117" t="str">
        <f>IFERROR(_xlfn.RRI(2,C40,E40),"N/A")</f>
        <v>N/A</v>
      </c>
      <c r="O40" s="147" t="s">
        <v>120</v>
      </c>
    </row>
    <row r="41" spans="2:19 16384:16384" x14ac:dyDescent="0.15">
      <c r="B41" s="21" t="s">
        <v>16</v>
      </c>
      <c r="C41" s="59">
        <f>C40/C37</f>
        <v>-2.051901025950513E-2</v>
      </c>
      <c r="D41" s="59">
        <f>D40/D37</f>
        <v>3.7974683544303799E-2</v>
      </c>
      <c r="E41" s="59">
        <f>E40/E37</f>
        <v>9.5631641086186547E-2</v>
      </c>
      <c r="F41" s="60">
        <v>0.03</v>
      </c>
      <c r="G41" s="60">
        <v>0.05</v>
      </c>
      <c r="H41" s="60">
        <v>0.114</v>
      </c>
      <c r="I41" s="60">
        <v>0.12</v>
      </c>
      <c r="J41" s="60">
        <v>0.14000000000000001</v>
      </c>
      <c r="L41" s="167"/>
      <c r="O41" s="150" t="s">
        <v>77</v>
      </c>
      <c r="XFD41" s="60"/>
    </row>
    <row r="42" spans="2:19 16384:16384" x14ac:dyDescent="0.15">
      <c r="B42" s="21"/>
      <c r="C42" s="59"/>
      <c r="D42" s="59"/>
      <c r="E42" s="59"/>
      <c r="F42" s="60"/>
      <c r="G42" s="60"/>
      <c r="H42" s="60"/>
      <c r="I42" s="60"/>
      <c r="J42" s="60"/>
      <c r="XFD42" s="60"/>
    </row>
    <row r="43" spans="2:19 16384:16384" x14ac:dyDescent="0.15">
      <c r="B43" s="18" t="s">
        <v>153</v>
      </c>
      <c r="C43" s="59"/>
      <c r="D43" s="59"/>
      <c r="E43" s="59"/>
      <c r="F43" s="166">
        <f>F40</f>
        <v>184.2225</v>
      </c>
      <c r="G43" s="166">
        <f t="shared" ref="G43:J43" si="2">G40</f>
        <v>429.85249999999996</v>
      </c>
      <c r="H43" s="166">
        <f t="shared" si="2"/>
        <v>1332.8866319999997</v>
      </c>
      <c r="I43" s="166">
        <f t="shared" si="2"/>
        <v>1880.0716703999997</v>
      </c>
      <c r="J43" s="166">
        <f t="shared" si="2"/>
        <v>2873.3762029280001</v>
      </c>
      <c r="XFD43" s="60"/>
    </row>
    <row r="44" spans="2:19 16384:16384" x14ac:dyDescent="0.15">
      <c r="B44" s="18" t="s">
        <v>22</v>
      </c>
      <c r="C44" s="59"/>
      <c r="D44" s="59"/>
      <c r="E44" s="59"/>
      <c r="F44" s="165">
        <f>-($L$44*F37)</f>
        <v>-61.407499999999999</v>
      </c>
      <c r="G44" s="165">
        <f>-($L$44*G37)</f>
        <v>-85.970500000000001</v>
      </c>
      <c r="H44" s="165">
        <f>-($L$44*H37)</f>
        <v>-116.91987999999998</v>
      </c>
      <c r="I44" s="165">
        <f>-($L$44*I37)</f>
        <v>-156.67263919999999</v>
      </c>
      <c r="J44" s="165">
        <f>-($L$44*J37)</f>
        <v>-205.24115735199999</v>
      </c>
      <c r="L44" s="5">
        <v>0.01</v>
      </c>
      <c r="M44" s="18" t="s">
        <v>17</v>
      </c>
      <c r="O44" s="144" t="s">
        <v>94</v>
      </c>
      <c r="XFD44" s="60"/>
    </row>
    <row r="45" spans="2:19 16384:16384" x14ac:dyDescent="0.15">
      <c r="B45" s="65" t="s">
        <v>21</v>
      </c>
      <c r="C45" s="66"/>
      <c r="D45" s="66"/>
      <c r="E45" s="66"/>
      <c r="F45" s="163">
        <f>SUM(F43:F44)</f>
        <v>122.815</v>
      </c>
      <c r="G45" s="163">
        <f>SUM(G43:G44)</f>
        <v>343.88199999999995</v>
      </c>
      <c r="H45" s="163">
        <f>SUM(H43:H44)</f>
        <v>1215.9667519999998</v>
      </c>
      <c r="I45" s="163">
        <f>SUM(I43:I44)</f>
        <v>1723.3990311999996</v>
      </c>
      <c r="J45" s="163">
        <f>SUM(J43:J44)</f>
        <v>2668.1350455760003</v>
      </c>
      <c r="L45" s="6"/>
      <c r="O45" s="145"/>
      <c r="XFD45" s="60"/>
    </row>
    <row r="46" spans="2:19 16384:16384" x14ac:dyDescent="0.15">
      <c r="B46" s="21"/>
      <c r="C46" s="59"/>
      <c r="D46" s="59"/>
      <c r="E46" s="59"/>
      <c r="F46" s="60"/>
      <c r="G46" s="60"/>
      <c r="H46" s="60"/>
      <c r="I46" s="60"/>
      <c r="J46" s="60"/>
      <c r="L46" s="6"/>
      <c r="O46" s="145"/>
      <c r="XFD46" s="60"/>
    </row>
    <row r="47" spans="2:19 16384:16384" x14ac:dyDescent="0.15">
      <c r="B47" s="18" t="s">
        <v>23</v>
      </c>
      <c r="C47" s="59"/>
      <c r="D47" s="59"/>
      <c r="E47" s="59"/>
      <c r="F47" s="68">
        <f>-F80-F89</f>
        <v>-435.46000000000004</v>
      </c>
      <c r="G47" s="68">
        <f>-G80-G89</f>
        <v>-435.46000000000004</v>
      </c>
      <c r="H47" s="68">
        <f>-H80-H89</f>
        <v>-435.46000000000004</v>
      </c>
      <c r="I47" s="68">
        <f>-I80-I89</f>
        <v>-316.97333333333336</v>
      </c>
      <c r="J47" s="68">
        <f>-J80-J89</f>
        <v>-198.48666666666665</v>
      </c>
      <c r="L47" s="6"/>
      <c r="O47" s="145"/>
      <c r="XFD47" s="60"/>
    </row>
    <row r="48" spans="2:19 16384:16384" x14ac:dyDescent="0.15">
      <c r="B48" s="65" t="s">
        <v>24</v>
      </c>
      <c r="C48" s="66"/>
      <c r="D48" s="66"/>
      <c r="E48" s="66"/>
      <c r="F48" s="163">
        <f>F45+F47</f>
        <v>-312.64500000000004</v>
      </c>
      <c r="G48" s="163">
        <f t="shared" ref="G48:J48" si="3">G45+G47</f>
        <v>-91.578000000000088</v>
      </c>
      <c r="H48" s="163">
        <f t="shared" si="3"/>
        <v>780.50675199999978</v>
      </c>
      <c r="I48" s="163">
        <f t="shared" si="3"/>
        <v>1406.4256978666663</v>
      </c>
      <c r="J48" s="163">
        <f t="shared" si="3"/>
        <v>2469.6483789093336</v>
      </c>
      <c r="L48" s="6"/>
      <c r="O48" s="148"/>
      <c r="P48" s="60"/>
      <c r="Q48" s="60"/>
      <c r="R48" s="60"/>
      <c r="S48" s="60"/>
      <c r="XFD48" s="60"/>
    </row>
    <row r="49" spans="1:21 16384:16384" x14ac:dyDescent="0.15">
      <c r="C49" s="59"/>
      <c r="D49" s="59"/>
      <c r="E49" s="59"/>
      <c r="F49" s="164"/>
      <c r="G49" s="164"/>
      <c r="H49" s="164"/>
      <c r="I49" s="164"/>
      <c r="J49" s="164"/>
      <c r="L49" s="6"/>
      <c r="O49" s="145"/>
      <c r="P49" s="75"/>
      <c r="Q49" s="75"/>
      <c r="R49" s="75"/>
      <c r="S49" s="75"/>
      <c r="T49" s="75"/>
      <c r="U49" s="75"/>
      <c r="XFD49" s="60"/>
    </row>
    <row r="50" spans="1:21 16384:16384" x14ac:dyDescent="0.15">
      <c r="B50" s="18" t="s">
        <v>100</v>
      </c>
      <c r="C50" s="59"/>
      <c r="D50" s="59"/>
      <c r="E50" s="133">
        <f>IF(N24="LLC",45%,26.5%)</f>
        <v>0.26500000000000001</v>
      </c>
      <c r="F50" s="165">
        <f>-$E$50*F48</f>
        <v>82.850925000000018</v>
      </c>
      <c r="G50" s="165">
        <f>-$E$50*G48</f>
        <v>24.268170000000026</v>
      </c>
      <c r="H50" s="165">
        <f>-$E$50*H48</f>
        <v>-206.83428927999995</v>
      </c>
      <c r="I50" s="165">
        <f>-$E$50*I48</f>
        <v>-372.70280993466656</v>
      </c>
      <c r="J50" s="165">
        <f>-$E$50*J48</f>
        <v>-654.45682041097348</v>
      </c>
      <c r="N50" s="21"/>
      <c r="O50" s="145"/>
      <c r="P50" s="75"/>
      <c r="Q50" s="75"/>
      <c r="R50" s="75"/>
      <c r="S50" s="75"/>
      <c r="T50" s="75"/>
      <c r="U50" s="75"/>
      <c r="XFD50" s="60"/>
    </row>
    <row r="51" spans="1:21 16384:16384" x14ac:dyDescent="0.15">
      <c r="B51" s="65" t="s">
        <v>25</v>
      </c>
      <c r="C51" s="66"/>
      <c r="D51" s="66"/>
      <c r="E51" s="132"/>
      <c r="F51" s="163">
        <f t="shared" ref="F51:I51" si="4">F48+F50</f>
        <v>-229.79407500000002</v>
      </c>
      <c r="G51" s="163">
        <f t="shared" si="4"/>
        <v>-67.309830000000062</v>
      </c>
      <c r="H51" s="163">
        <f t="shared" si="4"/>
        <v>573.67246271999988</v>
      </c>
      <c r="I51" s="163">
        <f t="shared" si="4"/>
        <v>1033.7228879319996</v>
      </c>
      <c r="J51" s="163">
        <f>J48+J50</f>
        <v>1815.1915584983601</v>
      </c>
      <c r="L51" s="6"/>
      <c r="M51" s="57"/>
      <c r="N51" s="57"/>
      <c r="O51" s="145"/>
      <c r="P51" s="75"/>
      <c r="Q51" s="75"/>
      <c r="R51" s="75"/>
      <c r="S51" s="75"/>
      <c r="T51" s="75"/>
      <c r="U51" s="75"/>
      <c r="XFD51" s="60"/>
    </row>
    <row r="52" spans="1:21 16384:16384" ht="6.5" customHeight="1" x14ac:dyDescent="0.15">
      <c r="L52" s="6"/>
      <c r="O52" s="145"/>
    </row>
    <row r="53" spans="1:21 16384:16384" x14ac:dyDescent="0.15">
      <c r="A53" s="6" t="s">
        <v>4</v>
      </c>
      <c r="B53" s="53" t="s">
        <v>19</v>
      </c>
      <c r="C53" s="53"/>
      <c r="D53" s="53"/>
      <c r="E53" s="53"/>
      <c r="F53" s="53"/>
      <c r="G53" s="53"/>
      <c r="H53" s="53"/>
      <c r="I53" s="53"/>
      <c r="J53" s="53"/>
      <c r="L53" s="6"/>
      <c r="O53" s="145"/>
    </row>
    <row r="54" spans="1:21 16384:16384" ht="6.5" customHeight="1" x14ac:dyDescent="0.15">
      <c r="L54" s="6"/>
      <c r="O54" s="145"/>
    </row>
    <row r="55" spans="1:21 16384:16384" x14ac:dyDescent="0.15">
      <c r="B55" s="18" t="s">
        <v>25</v>
      </c>
      <c r="C55" s="62"/>
      <c r="D55" s="62"/>
      <c r="E55" s="62"/>
      <c r="F55" s="77">
        <f>F51</f>
        <v>-229.79407500000002</v>
      </c>
      <c r="G55" s="77">
        <f t="shared" ref="G55:J55" si="5">G51</f>
        <v>-67.309830000000062</v>
      </c>
      <c r="H55" s="77">
        <f t="shared" si="5"/>
        <v>573.67246271999988</v>
      </c>
      <c r="I55" s="77">
        <f t="shared" si="5"/>
        <v>1033.7228879319996</v>
      </c>
      <c r="J55" s="77">
        <f t="shared" si="5"/>
        <v>1815.1915584983601</v>
      </c>
      <c r="L55" s="6"/>
      <c r="O55" s="145"/>
    </row>
    <row r="56" spans="1:21 16384:16384" x14ac:dyDescent="0.15">
      <c r="B56" s="69" t="s">
        <v>26</v>
      </c>
      <c r="C56" s="62"/>
      <c r="D56" s="62"/>
      <c r="E56" s="62"/>
      <c r="F56" s="25">
        <f>-SUM(F44:F44)</f>
        <v>61.407499999999999</v>
      </c>
      <c r="G56" s="25">
        <f>-SUM(G44:G44)</f>
        <v>85.970500000000001</v>
      </c>
      <c r="H56" s="25">
        <f>-SUM(H44:H44)</f>
        <v>116.91987999999998</v>
      </c>
      <c r="I56" s="25">
        <f>-SUM(I44:I44)</f>
        <v>156.67263919999999</v>
      </c>
      <c r="J56" s="25">
        <f>-SUM(J44:J44)</f>
        <v>205.24115735199999</v>
      </c>
      <c r="L56" s="6"/>
      <c r="O56" s="145" t="s">
        <v>155</v>
      </c>
    </row>
    <row r="57" spans="1:21 16384:16384" x14ac:dyDescent="0.15">
      <c r="B57" s="69" t="s">
        <v>18</v>
      </c>
      <c r="C57" s="62"/>
      <c r="D57" s="62"/>
      <c r="E57" s="62"/>
      <c r="F57" s="25">
        <f>$L$57*F37</f>
        <v>61.407499999999999</v>
      </c>
      <c r="G57" s="25">
        <f>$L$57*G37</f>
        <v>85.970500000000001</v>
      </c>
      <c r="H57" s="25">
        <f>$L$57*H37</f>
        <v>116.91987999999998</v>
      </c>
      <c r="I57" s="25">
        <f>$L$57*I37</f>
        <v>156.67263919999999</v>
      </c>
      <c r="J57" s="25">
        <f>$L$57*J37</f>
        <v>205.24115735199999</v>
      </c>
      <c r="L57" s="5">
        <v>0.01</v>
      </c>
      <c r="M57" s="18" t="s">
        <v>17</v>
      </c>
      <c r="O57" s="144" t="s">
        <v>92</v>
      </c>
    </row>
    <row r="58" spans="1:21 16384:16384" x14ac:dyDescent="0.15">
      <c r="B58" s="69" t="s">
        <v>27</v>
      </c>
      <c r="C58" s="62"/>
      <c r="D58" s="62"/>
      <c r="E58" s="62"/>
      <c r="F58" s="25">
        <f>-$L$58*F37</f>
        <v>-61.407499999999999</v>
      </c>
      <c r="G58" s="25">
        <f>-$L$58*G37</f>
        <v>-85.970500000000001</v>
      </c>
      <c r="H58" s="25">
        <f>-$L$58*H37</f>
        <v>-116.91987999999998</v>
      </c>
      <c r="I58" s="25">
        <f>-$L$58*I37</f>
        <v>-156.67263919999999</v>
      </c>
      <c r="J58" s="25">
        <f>-$L$58*J37</f>
        <v>-205.24115735199999</v>
      </c>
      <c r="L58" s="5">
        <v>0.01</v>
      </c>
      <c r="M58" s="18" t="s">
        <v>17</v>
      </c>
      <c r="O58" s="144" t="s">
        <v>93</v>
      </c>
    </row>
    <row r="59" spans="1:21 16384:16384" x14ac:dyDescent="0.15">
      <c r="B59" s="69" t="s">
        <v>69</v>
      </c>
      <c r="C59" s="62"/>
      <c r="D59" s="62"/>
      <c r="E59" s="62"/>
      <c r="F59" s="25">
        <f>F77+F86</f>
        <v>0</v>
      </c>
      <c r="G59" s="25">
        <f>G77+G86</f>
        <v>0</v>
      </c>
      <c r="H59" s="25">
        <f>H77+H86</f>
        <v>-846.33333333333337</v>
      </c>
      <c r="I59" s="25">
        <f>I77+I86</f>
        <v>-846.33333333333337</v>
      </c>
      <c r="J59" s="25">
        <f>J77+J86</f>
        <v>-1846.3333333333335</v>
      </c>
      <c r="O59" s="145"/>
    </row>
    <row r="60" spans="1:21 16384:16384" x14ac:dyDescent="0.15">
      <c r="B60" s="65" t="s">
        <v>53</v>
      </c>
      <c r="C60" s="70"/>
      <c r="D60" s="70"/>
      <c r="E60" s="70"/>
      <c r="F60" s="71">
        <f>SUM(F55:F59)</f>
        <v>-168.38657500000002</v>
      </c>
      <c r="G60" s="71">
        <f>SUM(G55:G59)</f>
        <v>18.660669999999939</v>
      </c>
      <c r="H60" s="71">
        <f>SUM(H55:H59)</f>
        <v>-155.74099061333357</v>
      </c>
      <c r="I60" s="71">
        <f>SUM(I55:I59)</f>
        <v>344.06219379866627</v>
      </c>
      <c r="J60" s="71">
        <f>SUM(J55:J59)</f>
        <v>174.09938251702647</v>
      </c>
      <c r="O60" s="145"/>
    </row>
    <row r="61" spans="1:21 16384:16384" x14ac:dyDescent="0.15">
      <c r="C61" s="62"/>
      <c r="D61" s="62"/>
      <c r="E61" s="62"/>
      <c r="F61" s="25"/>
      <c r="G61" s="25"/>
      <c r="H61" s="25"/>
      <c r="I61" s="25"/>
      <c r="J61" s="25"/>
      <c r="O61" s="145"/>
    </row>
    <row r="62" spans="1:21 16384:16384" x14ac:dyDescent="0.15">
      <c r="B62" s="18" t="s">
        <v>70</v>
      </c>
      <c r="C62" s="62"/>
      <c r="D62" s="62"/>
      <c r="E62" s="62"/>
      <c r="F62" s="72">
        <f>-F122</f>
        <v>0</v>
      </c>
      <c r="G62" s="73"/>
      <c r="H62" s="73"/>
      <c r="I62" s="73"/>
      <c r="J62" s="73"/>
      <c r="O62" s="145"/>
    </row>
    <row r="63" spans="1:21 16384:16384" ht="10" customHeight="1" x14ac:dyDescent="0.15">
      <c r="C63" s="62"/>
      <c r="D63" s="62"/>
      <c r="E63" s="62"/>
      <c r="O63" s="145"/>
    </row>
    <row r="64" spans="1:21 16384:16384" ht="10" customHeight="1" x14ac:dyDescent="0.15">
      <c r="B64" s="18" t="s">
        <v>36</v>
      </c>
      <c r="C64" s="62"/>
      <c r="D64" s="62"/>
      <c r="E64" s="62"/>
      <c r="F64" s="74">
        <f>N22</f>
        <v>350</v>
      </c>
      <c r="G64" s="74">
        <f>F70</f>
        <v>181.61342499999998</v>
      </c>
      <c r="H64" s="74">
        <f>G70</f>
        <v>200.27409499999993</v>
      </c>
      <c r="I64" s="74">
        <f>H70</f>
        <v>44.533104386666366</v>
      </c>
      <c r="J64" s="74">
        <f>I70</f>
        <v>388.59529818533264</v>
      </c>
      <c r="O64" s="145"/>
    </row>
    <row r="65" spans="1:15" x14ac:dyDescent="0.15">
      <c r="B65" s="69" t="s">
        <v>42</v>
      </c>
      <c r="C65" s="62"/>
      <c r="D65" s="62"/>
      <c r="E65" s="62"/>
      <c r="F65" s="25">
        <f>F60+F62</f>
        <v>-168.38657500000002</v>
      </c>
      <c r="G65" s="25">
        <f t="shared" ref="G65:J65" si="6">G60++G62</f>
        <v>18.660669999999939</v>
      </c>
      <c r="H65" s="25">
        <f t="shared" si="6"/>
        <v>-155.74099061333357</v>
      </c>
      <c r="I65" s="25">
        <f t="shared" si="6"/>
        <v>344.06219379866627</v>
      </c>
      <c r="J65" s="25">
        <f t="shared" si="6"/>
        <v>174.09938251702647</v>
      </c>
      <c r="O65" s="145"/>
    </row>
    <row r="66" spans="1:15" x14ac:dyDescent="0.15">
      <c r="B66" s="18" t="s">
        <v>103</v>
      </c>
      <c r="C66" s="62"/>
      <c r="D66" s="62"/>
      <c r="E66" s="62"/>
      <c r="F66" s="72">
        <f>SUM(F64:F65)</f>
        <v>181.61342499999998</v>
      </c>
      <c r="G66" s="72">
        <f>SUM(G64:G65)</f>
        <v>200.27409499999993</v>
      </c>
      <c r="H66" s="72">
        <f>SUM(H64:H65)</f>
        <v>44.533104386666366</v>
      </c>
      <c r="I66" s="72">
        <f>SUM(I64:I65)</f>
        <v>388.59529818533264</v>
      </c>
      <c r="J66" s="72">
        <f>SUM(J64:J65)</f>
        <v>562.69468070235916</v>
      </c>
      <c r="O66" s="145"/>
    </row>
    <row r="67" spans="1:15" x14ac:dyDescent="0.15">
      <c r="B67" s="75" t="s">
        <v>44</v>
      </c>
      <c r="C67" s="62"/>
      <c r="D67" s="62"/>
      <c r="E67" s="62"/>
      <c r="F67" s="75">
        <f>IF(F66&lt;0,1,0)</f>
        <v>0</v>
      </c>
      <c r="G67" s="75">
        <f>IF(G66&lt;0,1,0)</f>
        <v>0</v>
      </c>
      <c r="H67" s="75">
        <f>IF(H66&lt;0,1,0)</f>
        <v>0</v>
      </c>
      <c r="I67" s="75">
        <f>IF(I66&lt;0,1,0)</f>
        <v>0</v>
      </c>
      <c r="J67" s="75">
        <f>IF(J66&lt;0,1,0)</f>
        <v>0</v>
      </c>
      <c r="O67" s="145"/>
    </row>
    <row r="68" spans="1:15" x14ac:dyDescent="0.15">
      <c r="B68" s="75"/>
      <c r="C68" s="62"/>
      <c r="D68" s="62"/>
      <c r="E68" s="62"/>
      <c r="F68" s="75"/>
      <c r="G68" s="75"/>
      <c r="H68" s="75"/>
      <c r="I68" s="75"/>
      <c r="J68" s="75"/>
      <c r="O68" s="145"/>
    </row>
    <row r="69" spans="1:15" x14ac:dyDescent="0.15">
      <c r="B69" s="143" t="s">
        <v>106</v>
      </c>
      <c r="C69" s="134"/>
      <c r="D69" s="134"/>
      <c r="E69" s="134"/>
      <c r="F69" s="36">
        <v>0</v>
      </c>
      <c r="G69" s="36">
        <v>0</v>
      </c>
      <c r="H69" s="41">
        <f>MAX(IF($N$23=1,1/3*H66,0),0)</f>
        <v>0</v>
      </c>
      <c r="I69" s="41">
        <f>MAX(IF($N$23=1,1/3*I66,0),0)</f>
        <v>0</v>
      </c>
      <c r="J69" s="41">
        <v>0</v>
      </c>
      <c r="O69" s="145"/>
    </row>
    <row r="70" spans="1:15" x14ac:dyDescent="0.15">
      <c r="B70" s="36" t="s">
        <v>104</v>
      </c>
      <c r="C70" s="134"/>
      <c r="D70" s="134"/>
      <c r="E70" s="134"/>
      <c r="F70" s="135">
        <f>F66-F69</f>
        <v>181.61342499999998</v>
      </c>
      <c r="G70" s="135">
        <f>G66-G69</f>
        <v>200.27409499999993</v>
      </c>
      <c r="H70" s="135">
        <f>H66-H69</f>
        <v>44.533104386666366</v>
      </c>
      <c r="I70" s="135">
        <f>I66-I69</f>
        <v>388.59529818533264</v>
      </c>
      <c r="J70" s="135">
        <f>J66-J69</f>
        <v>562.69468070235916</v>
      </c>
      <c r="O70" s="145"/>
    </row>
    <row r="71" spans="1:15" x14ac:dyDescent="0.15">
      <c r="B71" s="75"/>
      <c r="C71" s="62"/>
      <c r="D71" s="62"/>
      <c r="E71" s="62"/>
      <c r="F71" s="75"/>
      <c r="G71" s="75"/>
      <c r="H71" s="93"/>
      <c r="I71" s="75"/>
      <c r="J71" s="75"/>
      <c r="O71" s="145"/>
    </row>
    <row r="72" spans="1:15" ht="6.5" customHeight="1" x14ac:dyDescent="0.15">
      <c r="O72" s="145"/>
    </row>
    <row r="73" spans="1:15" x14ac:dyDescent="0.15">
      <c r="A73" s="6" t="s">
        <v>4</v>
      </c>
      <c r="B73" s="53" t="s">
        <v>28</v>
      </c>
      <c r="C73" s="53"/>
      <c r="D73" s="53"/>
      <c r="E73" s="53"/>
      <c r="F73" s="53"/>
      <c r="G73" s="53"/>
      <c r="H73" s="53"/>
      <c r="I73" s="53"/>
      <c r="J73" s="53"/>
      <c r="O73" s="145"/>
    </row>
    <row r="74" spans="1:15" ht="6.5" customHeight="1" x14ac:dyDescent="0.15">
      <c r="O74" s="145"/>
    </row>
    <row r="75" spans="1:15" ht="10" customHeight="1" x14ac:dyDescent="0.15">
      <c r="B75" s="76" t="s">
        <v>29</v>
      </c>
      <c r="C75" s="62"/>
      <c r="D75" s="62"/>
      <c r="E75" s="62"/>
      <c r="O75" s="145"/>
    </row>
    <row r="76" spans="1:15" ht="10" customHeight="1" x14ac:dyDescent="0.15">
      <c r="B76" s="18" t="s">
        <v>30</v>
      </c>
      <c r="C76" s="62"/>
      <c r="D76" s="62"/>
      <c r="E76" s="62"/>
      <c r="F76" s="77">
        <f>C16</f>
        <v>2539</v>
      </c>
      <c r="G76" s="77">
        <f>F78</f>
        <v>2539</v>
      </c>
      <c r="H76" s="77">
        <f t="shared" ref="H76:J76" si="7">G78</f>
        <v>2539</v>
      </c>
      <c r="I76" s="77">
        <f t="shared" si="7"/>
        <v>1692.6666666666665</v>
      </c>
      <c r="J76" s="77">
        <f t="shared" si="7"/>
        <v>846.33333333333314</v>
      </c>
      <c r="O76" s="145"/>
    </row>
    <row r="77" spans="1:15" ht="10" customHeight="1" x14ac:dyDescent="0.15">
      <c r="B77" s="69" t="s">
        <v>83</v>
      </c>
      <c r="C77" s="62"/>
      <c r="D77" s="62"/>
      <c r="E77" s="62"/>
      <c r="F77" s="78">
        <f>$F$76*-F82</f>
        <v>0</v>
      </c>
      <c r="G77" s="78">
        <f>$F$76*-G82</f>
        <v>0</v>
      </c>
      <c r="H77" s="78">
        <f>$F$76*-H82</f>
        <v>-846.33333333333337</v>
      </c>
      <c r="I77" s="78">
        <f>$F$76*-I82</f>
        <v>-846.33333333333337</v>
      </c>
      <c r="J77" s="78">
        <f>$F$76*-J82</f>
        <v>-846.33333333333337</v>
      </c>
      <c r="O77" s="145"/>
    </row>
    <row r="78" spans="1:15" ht="10" customHeight="1" x14ac:dyDescent="0.15">
      <c r="B78" s="18" t="s">
        <v>31</v>
      </c>
      <c r="C78" s="62"/>
      <c r="D78" s="62"/>
      <c r="E78" s="62"/>
      <c r="F78" s="77">
        <f>SUM(F76:F77)</f>
        <v>2539</v>
      </c>
      <c r="G78" s="77">
        <f>SUM(G76:G77)</f>
        <v>2539</v>
      </c>
      <c r="H78" s="77">
        <f>SUM(H76:H77)</f>
        <v>1692.6666666666665</v>
      </c>
      <c r="I78" s="77">
        <f>SUM(I76:I77)</f>
        <v>846.33333333333314</v>
      </c>
      <c r="J78" s="79">
        <f>SUM(J76:J77)</f>
        <v>0</v>
      </c>
      <c r="O78" s="145"/>
    </row>
    <row r="79" spans="1:15" ht="10" customHeight="1" x14ac:dyDescent="0.15">
      <c r="C79" s="62"/>
      <c r="D79" s="62"/>
      <c r="E79" s="62"/>
      <c r="O79" s="145"/>
    </row>
    <row r="80" spans="1:15" ht="10" customHeight="1" x14ac:dyDescent="0.15">
      <c r="B80" s="18" t="s">
        <v>32</v>
      </c>
      <c r="C80" s="62"/>
      <c r="D80" s="62"/>
      <c r="E80" s="62"/>
      <c r="F80" s="77">
        <f>F76*$L$80</f>
        <v>355.46000000000004</v>
      </c>
      <c r="G80" s="77">
        <f>G76*$L$80</f>
        <v>355.46000000000004</v>
      </c>
      <c r="H80" s="77">
        <f>H76*$L$80</f>
        <v>355.46000000000004</v>
      </c>
      <c r="I80" s="77">
        <f>I76*$L$80</f>
        <v>236.97333333333333</v>
      </c>
      <c r="J80" s="77">
        <f>J76*$L$80</f>
        <v>118.48666666666665</v>
      </c>
      <c r="L80" s="5">
        <v>0.14000000000000001</v>
      </c>
      <c r="M80" s="18" t="s">
        <v>45</v>
      </c>
      <c r="O80" s="145"/>
    </row>
    <row r="81" spans="2:15" ht="10" customHeight="1" x14ac:dyDescent="0.15">
      <c r="C81" s="62"/>
      <c r="D81" s="62"/>
      <c r="E81" s="62"/>
      <c r="O81" s="145"/>
    </row>
    <row r="82" spans="2:15" ht="10" customHeight="1" x14ac:dyDescent="0.15">
      <c r="B82" s="18" t="s">
        <v>80</v>
      </c>
      <c r="C82" s="62"/>
      <c r="D82" s="62"/>
      <c r="E82" s="62"/>
      <c r="F82" s="80">
        <v>0</v>
      </c>
      <c r="G82" s="80">
        <v>0</v>
      </c>
      <c r="H82" s="80">
        <v>0.33333333333333337</v>
      </c>
      <c r="I82" s="80">
        <v>0.33333333333333337</v>
      </c>
      <c r="J82" s="80">
        <v>0.33333333333333337</v>
      </c>
      <c r="L82" s="153" t="str">
        <f>IF(SUM(F82:J82)=100%,"Check","Paydown doesn't add to 100%")</f>
        <v>Check</v>
      </c>
      <c r="O82" s="144" t="s">
        <v>107</v>
      </c>
    </row>
    <row r="83" spans="2:15" ht="10" customHeight="1" x14ac:dyDescent="0.15">
      <c r="C83" s="62"/>
      <c r="D83" s="62"/>
      <c r="E83" s="62"/>
      <c r="O83" s="145"/>
    </row>
    <row r="84" spans="2:15" ht="10" customHeight="1" x14ac:dyDescent="0.15">
      <c r="B84" s="76" t="s">
        <v>0</v>
      </c>
      <c r="C84" s="62"/>
      <c r="D84" s="62"/>
      <c r="E84" s="62"/>
      <c r="F84" s="81"/>
      <c r="G84" s="81"/>
      <c r="H84" s="81"/>
      <c r="I84" s="81"/>
      <c r="J84" s="81"/>
      <c r="N84" s="18" t="s">
        <v>38</v>
      </c>
      <c r="O84" s="145"/>
    </row>
    <row r="85" spans="2:15" ht="10" customHeight="1" x14ac:dyDescent="0.15">
      <c r="B85" s="18" t="s">
        <v>34</v>
      </c>
      <c r="C85" s="62"/>
      <c r="D85" s="62"/>
      <c r="E85" s="62"/>
      <c r="F85" s="77">
        <f>C17</f>
        <v>1000</v>
      </c>
      <c r="G85" s="77">
        <f>F87</f>
        <v>1000</v>
      </c>
      <c r="H85" s="77">
        <f>G87</f>
        <v>1000</v>
      </c>
      <c r="I85" s="77">
        <f>H87</f>
        <v>1000</v>
      </c>
      <c r="J85" s="77">
        <f>I87</f>
        <v>1000</v>
      </c>
      <c r="L85" s="20"/>
      <c r="O85" s="144"/>
    </row>
    <row r="86" spans="2:15" ht="10" customHeight="1" x14ac:dyDescent="0.15">
      <c r="B86" s="69" t="s">
        <v>35</v>
      </c>
      <c r="C86" s="62"/>
      <c r="D86" s="62"/>
      <c r="E86" s="62"/>
      <c r="F86" s="78">
        <f>$F$85*-F91</f>
        <v>0</v>
      </c>
      <c r="G86" s="78">
        <f>$F$85*-G91</f>
        <v>0</v>
      </c>
      <c r="H86" s="78">
        <f>$F$85*-H91</f>
        <v>0</v>
      </c>
      <c r="I86" s="78">
        <f>$F$85*-I91</f>
        <v>0</v>
      </c>
      <c r="J86" s="78">
        <f>$F$85*-J91</f>
        <v>-1000</v>
      </c>
      <c r="L86" s="20"/>
      <c r="O86" s="145"/>
    </row>
    <row r="87" spans="2:15" ht="10" customHeight="1" x14ac:dyDescent="0.15">
      <c r="B87" s="18" t="s">
        <v>31</v>
      </c>
      <c r="C87" s="62"/>
      <c r="D87" s="62"/>
      <c r="E87" s="62"/>
      <c r="F87" s="77">
        <f>SUM(F85:F86)</f>
        <v>1000</v>
      </c>
      <c r="G87" s="77">
        <f>SUM(G85:G86)</f>
        <v>1000</v>
      </c>
      <c r="H87" s="77">
        <f>SUM(H85:H86)</f>
        <v>1000</v>
      </c>
      <c r="I87" s="77">
        <f>SUM(I85:I86)</f>
        <v>1000</v>
      </c>
      <c r="J87" s="79">
        <f>SUM(J85:J86)</f>
        <v>0</v>
      </c>
      <c r="O87" s="145"/>
    </row>
    <row r="88" spans="2:15" ht="10" customHeight="1" x14ac:dyDescent="0.15">
      <c r="C88" s="62"/>
      <c r="D88" s="62"/>
      <c r="E88" s="62"/>
      <c r="O88" s="145"/>
    </row>
    <row r="89" spans="2:15" ht="10" customHeight="1" x14ac:dyDescent="0.15">
      <c r="B89" s="18" t="s">
        <v>32</v>
      </c>
      <c r="C89" s="62"/>
      <c r="D89" s="62"/>
      <c r="E89" s="62"/>
      <c r="F89" s="77">
        <f>$L$89*F85</f>
        <v>80</v>
      </c>
      <c r="G89" s="77">
        <f>$L$89*G85</f>
        <v>80</v>
      </c>
      <c r="H89" s="77">
        <f>$L$89*H85</f>
        <v>80</v>
      </c>
      <c r="I89" s="77">
        <f>$L$89*I85</f>
        <v>80</v>
      </c>
      <c r="J89" s="77">
        <f>$L$89*J85</f>
        <v>80</v>
      </c>
      <c r="L89" s="5">
        <v>0.08</v>
      </c>
      <c r="M89" s="18" t="s">
        <v>45</v>
      </c>
      <c r="O89" s="145"/>
    </row>
    <row r="90" spans="2:15" ht="10" customHeight="1" x14ac:dyDescent="0.15">
      <c r="C90" s="62"/>
      <c r="D90" s="62"/>
      <c r="E90" s="62"/>
      <c r="F90" s="77"/>
      <c r="G90" s="77"/>
      <c r="H90" s="77"/>
      <c r="I90" s="77"/>
      <c r="J90" s="77"/>
      <c r="L90" s="18"/>
      <c r="O90" s="145"/>
    </row>
    <row r="91" spans="2:15" ht="10" customHeight="1" x14ac:dyDescent="0.15">
      <c r="B91" s="18" t="s">
        <v>80</v>
      </c>
      <c r="C91" s="62"/>
      <c r="D91" s="62"/>
      <c r="E91" s="62"/>
      <c r="F91" s="80">
        <v>0</v>
      </c>
      <c r="G91" s="80">
        <v>0</v>
      </c>
      <c r="H91" s="80">
        <v>0</v>
      </c>
      <c r="I91" s="80">
        <v>0</v>
      </c>
      <c r="J91" s="80">
        <v>1</v>
      </c>
      <c r="L91" s="153" t="str">
        <f>IF(SUM(F91:J91)=100%,"Check","Paydown doesn't add to 100%")</f>
        <v>Check</v>
      </c>
      <c r="O91" s="144" t="s">
        <v>116</v>
      </c>
    </row>
    <row r="92" spans="2:15" ht="10" customHeight="1" x14ac:dyDescent="0.15">
      <c r="C92" s="62"/>
      <c r="D92" s="62"/>
      <c r="E92" s="62"/>
      <c r="O92" s="145"/>
    </row>
    <row r="93" spans="2:15" ht="10" customHeight="1" x14ac:dyDescent="0.15">
      <c r="B93" s="76" t="s">
        <v>142</v>
      </c>
      <c r="C93" s="62"/>
      <c r="D93" s="62"/>
      <c r="E93" s="62"/>
      <c r="O93" s="145"/>
    </row>
    <row r="94" spans="2:15" ht="10" customHeight="1" x14ac:dyDescent="0.15">
      <c r="B94" s="18" t="s">
        <v>143</v>
      </c>
      <c r="C94" s="62"/>
      <c r="D94" s="62"/>
      <c r="E94" s="62"/>
      <c r="F94" s="172">
        <f>F78/F43</f>
        <v>13.782247011087136</v>
      </c>
      <c r="G94" s="172">
        <f>G78/G43</f>
        <v>5.9066772904659164</v>
      </c>
      <c r="H94" s="172">
        <f>H78/H43</f>
        <v>1.2699254580465076</v>
      </c>
      <c r="I94" s="172">
        <f>I78/I43</f>
        <v>0.45016014371051571</v>
      </c>
      <c r="J94" s="172">
        <f>J78/J43</f>
        <v>0</v>
      </c>
      <c r="O94" s="147" t="s">
        <v>150</v>
      </c>
    </row>
    <row r="95" spans="2:15" ht="10" customHeight="1" x14ac:dyDescent="0.15">
      <c r="B95" s="18" t="s">
        <v>145</v>
      </c>
      <c r="C95" s="62"/>
      <c r="D95" s="62"/>
      <c r="E95" s="62"/>
      <c r="F95" s="172">
        <f>(F78+F87)/F43</f>
        <v>19.210465605449933</v>
      </c>
      <c r="G95" s="172">
        <f>(G78+G87)/G43</f>
        <v>8.233056688049972</v>
      </c>
      <c r="H95" s="172">
        <f>(H78+H87)/H43</f>
        <v>2.020176811756536</v>
      </c>
      <c r="I95" s="172">
        <f>(I78+I87)/I43</f>
        <v>0.98205476014672966</v>
      </c>
      <c r="J95" s="172">
        <f>(J78+J87)/J43</f>
        <v>0</v>
      </c>
      <c r="O95" s="145"/>
    </row>
    <row r="96" spans="2:15" ht="10" customHeight="1" x14ac:dyDescent="0.15">
      <c r="B96" s="18" t="s">
        <v>144</v>
      </c>
      <c r="C96" s="62"/>
      <c r="D96" s="62"/>
      <c r="E96" s="62"/>
      <c r="F96" s="12">
        <f>F40/(-F77+F80+-F86+F89-F58-F50+F69-F62)</f>
        <v>0.44496406937330946</v>
      </c>
      <c r="G96" s="12">
        <f>G40/(-G77+G80+-G86+G89-G58-G50+G69-G62)</f>
        <v>0.86461196688011333</v>
      </c>
      <c r="H96" s="12">
        <f>H40/(-H77+H80+-H86+H89-H58-H50+H69-H62)</f>
        <v>0.83017576859636588</v>
      </c>
      <c r="I96" s="12">
        <f>I40/(-I77+I80+-I86+I89-I58-I50+I69-I62)</f>
        <v>1.1107056976908829</v>
      </c>
      <c r="J96" s="12">
        <f>J40/(-J77+J80+-J86+J89-J58-J50+J69-J62)</f>
        <v>0.98927816075734587</v>
      </c>
      <c r="K96" s="2"/>
      <c r="M96" s="173"/>
      <c r="O96" s="145"/>
    </row>
    <row r="97" spans="1:15" ht="6.5" customHeight="1" x14ac:dyDescent="0.15">
      <c r="O97" s="145"/>
    </row>
    <row r="98" spans="1:15" x14ac:dyDescent="0.15">
      <c r="B98" s="182" t="s">
        <v>68</v>
      </c>
      <c r="C98" s="182"/>
      <c r="D98" s="182"/>
      <c r="E98" s="182"/>
      <c r="F98" s="182"/>
      <c r="G98" s="182"/>
      <c r="H98" s="182"/>
      <c r="I98" s="182"/>
      <c r="J98" s="182"/>
      <c r="O98" s="145"/>
    </row>
    <row r="99" spans="1:15" ht="6.5" customHeight="1" x14ac:dyDescent="0.15">
      <c r="O99" s="145"/>
    </row>
    <row r="100" spans="1:15" x14ac:dyDescent="0.15">
      <c r="A100" s="6" t="s">
        <v>4</v>
      </c>
      <c r="B100" s="53" t="s">
        <v>82</v>
      </c>
      <c r="C100" s="53"/>
      <c r="D100" s="53"/>
      <c r="E100" s="53"/>
      <c r="F100" s="53"/>
      <c r="G100" s="53"/>
      <c r="H100" s="53"/>
      <c r="I100" s="53"/>
      <c r="J100" s="53"/>
      <c r="O100" s="147"/>
    </row>
    <row r="101" spans="1:15" ht="6.5" customHeight="1" x14ac:dyDescent="0.15">
      <c r="O101" s="145"/>
    </row>
    <row r="102" spans="1:15" x14ac:dyDescent="0.15">
      <c r="B102" s="18" t="s">
        <v>126</v>
      </c>
      <c r="D102" s="82">
        <v>0.25</v>
      </c>
      <c r="F102" s="18" t="s">
        <v>74</v>
      </c>
      <c r="H102" s="10">
        <v>1</v>
      </c>
      <c r="O102" s="147" t="s">
        <v>75</v>
      </c>
    </row>
    <row r="103" spans="1:15" x14ac:dyDescent="0.15">
      <c r="B103" s="18" t="s">
        <v>54</v>
      </c>
      <c r="D103" s="83">
        <v>0.05</v>
      </c>
      <c r="O103" s="147" t="s">
        <v>121</v>
      </c>
    </row>
    <row r="104" spans="1:15" x14ac:dyDescent="0.15">
      <c r="E104" s="6"/>
      <c r="F104" s="18" t="s">
        <v>63</v>
      </c>
      <c r="H104" s="84">
        <v>500</v>
      </c>
      <c r="L104" s="24"/>
      <c r="O104" s="145"/>
    </row>
    <row r="105" spans="1:15" x14ac:dyDescent="0.15">
      <c r="B105" s="18" t="s">
        <v>123</v>
      </c>
      <c r="D105" s="85">
        <f>$D$102/3</f>
        <v>8.3333333333333329E-2</v>
      </c>
      <c r="E105" s="86"/>
      <c r="F105" s="18" t="s">
        <v>64</v>
      </c>
      <c r="H105" s="105">
        <v>1.5</v>
      </c>
      <c r="L105" s="20"/>
      <c r="O105" s="145"/>
    </row>
    <row r="106" spans="1:15" x14ac:dyDescent="0.15">
      <c r="B106" s="18" t="s">
        <v>124</v>
      </c>
      <c r="D106" s="85">
        <f>$D$102/3</f>
        <v>8.3333333333333329E-2</v>
      </c>
      <c r="E106" s="86"/>
      <c r="J106" s="9"/>
      <c r="O106" s="145"/>
    </row>
    <row r="107" spans="1:15" x14ac:dyDescent="0.15">
      <c r="B107" s="18" t="s">
        <v>125</v>
      </c>
      <c r="D107" s="85">
        <f>$D$102/3</f>
        <v>8.3333333333333329E-2</v>
      </c>
      <c r="F107" s="18" t="s">
        <v>101</v>
      </c>
      <c r="H107" s="83">
        <v>0.3</v>
      </c>
      <c r="L107" s="9"/>
      <c r="O107" s="145"/>
    </row>
    <row r="108" spans="1:15" x14ac:dyDescent="0.15">
      <c r="B108" s="65" t="s">
        <v>55</v>
      </c>
      <c r="C108" s="65"/>
      <c r="D108" s="87">
        <f>SUM(D105:D107)</f>
        <v>0.25</v>
      </c>
      <c r="E108" s="86"/>
      <c r="L108" s="9"/>
      <c r="O108" s="145"/>
    </row>
    <row r="109" spans="1:15" x14ac:dyDescent="0.15">
      <c r="O109" s="145"/>
    </row>
    <row r="110" spans="1:15" x14ac:dyDescent="0.15">
      <c r="B110" s="18" t="s">
        <v>56</v>
      </c>
      <c r="D110" s="83">
        <v>0.2</v>
      </c>
      <c r="H110" s="179" t="s">
        <v>149</v>
      </c>
      <c r="I110" s="179" t="s">
        <v>55</v>
      </c>
      <c r="J110" s="179" t="s">
        <v>148</v>
      </c>
      <c r="O110" s="145"/>
    </row>
    <row r="111" spans="1:15" x14ac:dyDescent="0.15">
      <c r="B111" s="18" t="s">
        <v>57</v>
      </c>
      <c r="D111" s="83">
        <v>0.35</v>
      </c>
      <c r="F111" s="18" t="s">
        <v>146</v>
      </c>
      <c r="H111" s="175">
        <f>I111</f>
        <v>13311000</v>
      </c>
      <c r="I111" s="175">
        <f>F117*1000</f>
        <v>13311000</v>
      </c>
      <c r="J111" s="176">
        <f>1-D102</f>
        <v>0.75</v>
      </c>
      <c r="O111" s="145"/>
    </row>
    <row r="112" spans="1:15" x14ac:dyDescent="0.15">
      <c r="F112" s="18" t="s">
        <v>147</v>
      </c>
      <c r="H112" s="175">
        <f ca="1">I112*D114/D108</f>
        <v>4329122.1807443006</v>
      </c>
      <c r="I112" s="175">
        <f>I113-I111</f>
        <v>4437000</v>
      </c>
      <c r="J112" s="176">
        <f>I112/I113</f>
        <v>0.25</v>
      </c>
      <c r="O112" s="145"/>
    </row>
    <row r="113" spans="1:15" x14ac:dyDescent="0.15">
      <c r="B113" s="18" t="s">
        <v>122</v>
      </c>
      <c r="D113" s="88">
        <f ca="1">IF(J146&gt;D111,D107,IF(J146&lt;D110,0,(J146-D110)/(D111-D110))*D107)</f>
        <v>7.7255024833462943E-2</v>
      </c>
      <c r="F113" s="65" t="s">
        <v>55</v>
      </c>
      <c r="G113" s="65"/>
      <c r="H113" s="177">
        <f ca="1">SUM(H111:H112)</f>
        <v>17640122.180744302</v>
      </c>
      <c r="I113" s="177">
        <f>I111/J111</f>
        <v>17748000</v>
      </c>
      <c r="J113" s="178">
        <f>I113/I113</f>
        <v>1</v>
      </c>
      <c r="L113" s="90"/>
      <c r="O113" s="145"/>
    </row>
    <row r="114" spans="1:15" x14ac:dyDescent="0.15">
      <c r="B114" s="18" t="s">
        <v>136</v>
      </c>
      <c r="D114" s="88">
        <f ca="1">D113+D106+D105</f>
        <v>0.2439216915001296</v>
      </c>
      <c r="F114" s="89"/>
      <c r="L114" s="90"/>
      <c r="O114" s="145"/>
    </row>
    <row r="115" spans="1:15" x14ac:dyDescent="0.15">
      <c r="O115" s="145"/>
    </row>
    <row r="116" spans="1:15" x14ac:dyDescent="0.15">
      <c r="B116" s="76" t="s">
        <v>50</v>
      </c>
      <c r="O116" s="145"/>
    </row>
    <row r="117" spans="1:15" x14ac:dyDescent="0.15">
      <c r="B117" s="18" t="s">
        <v>30</v>
      </c>
      <c r="F117" s="72">
        <f>C23+(H105*H104)</f>
        <v>13311</v>
      </c>
      <c r="G117" s="72">
        <f>F120</f>
        <v>14375.880000000001</v>
      </c>
      <c r="H117" s="72">
        <f t="shared" ref="H117:J117" si="8">G120</f>
        <v>15525.950400000002</v>
      </c>
      <c r="I117" s="72">
        <f t="shared" si="8"/>
        <v>16768.026432000002</v>
      </c>
      <c r="J117" s="72">
        <f t="shared" si="8"/>
        <v>18109.468546560001</v>
      </c>
      <c r="O117" s="145"/>
    </row>
    <row r="118" spans="1:15" ht="10" customHeight="1" x14ac:dyDescent="0.15">
      <c r="B118" s="18" t="s">
        <v>81</v>
      </c>
      <c r="D118" s="83">
        <v>0.08</v>
      </c>
      <c r="F118" s="78">
        <f>F117*$D$118</f>
        <v>1064.8800000000001</v>
      </c>
      <c r="G118" s="25">
        <f>G117*$D$118</f>
        <v>1150.0704000000001</v>
      </c>
      <c r="H118" s="25">
        <f>H117*$D$118</f>
        <v>1242.0760320000002</v>
      </c>
      <c r="I118" s="25">
        <f>I117*$D$118</f>
        <v>1341.4421145600002</v>
      </c>
      <c r="J118" s="25">
        <f>J117*$D$118</f>
        <v>1448.7574837248001</v>
      </c>
      <c r="M118" s="142"/>
      <c r="O118" s="145"/>
    </row>
    <row r="119" spans="1:15" ht="10" customHeight="1" x14ac:dyDescent="0.15">
      <c r="B119" s="136" t="s">
        <v>105</v>
      </c>
      <c r="D119" s="137"/>
      <c r="F119" s="78">
        <f>-F69</f>
        <v>0</v>
      </c>
      <c r="G119" s="78">
        <f>-G69</f>
        <v>0</v>
      </c>
      <c r="H119" s="78">
        <f>-H69</f>
        <v>0</v>
      </c>
      <c r="I119" s="78">
        <f>-I69</f>
        <v>0</v>
      </c>
      <c r="J119" s="78">
        <f>-J69</f>
        <v>0</v>
      </c>
      <c r="M119" s="141"/>
      <c r="N119" s="25"/>
      <c r="O119" s="145"/>
    </row>
    <row r="120" spans="1:15" x14ac:dyDescent="0.15">
      <c r="B120" s="18" t="s">
        <v>31</v>
      </c>
      <c r="F120" s="72">
        <f>SUM(F117:F119)</f>
        <v>14375.880000000001</v>
      </c>
      <c r="G120" s="72">
        <f>SUM(G117:G119)</f>
        <v>15525.950400000002</v>
      </c>
      <c r="H120" s="72">
        <f>SUM(H117:H119)</f>
        <v>16768.026432000002</v>
      </c>
      <c r="I120" s="72">
        <f>SUM(I117:I119)</f>
        <v>18109.468546560001</v>
      </c>
      <c r="J120" s="72">
        <f>SUM(J117:J119)</f>
        <v>19558.226030284801</v>
      </c>
      <c r="N120" s="25"/>
      <c r="O120" s="145"/>
    </row>
    <row r="121" spans="1:15" x14ac:dyDescent="0.15">
      <c r="O121" s="145"/>
    </row>
    <row r="122" spans="1:15" ht="10" customHeight="1" x14ac:dyDescent="0.15">
      <c r="B122" s="18" t="s">
        <v>51</v>
      </c>
      <c r="F122" s="77">
        <f>IF(N26=1,IF(F37&gt;N28,N27,0),0)</f>
        <v>0</v>
      </c>
      <c r="G122" s="73"/>
      <c r="H122" s="73"/>
      <c r="I122" s="73"/>
      <c r="J122" s="73"/>
      <c r="O122" s="145"/>
    </row>
    <row r="123" spans="1:15" ht="6.5" customHeight="1" x14ac:dyDescent="0.15">
      <c r="O123" s="145"/>
    </row>
    <row r="124" spans="1:15" x14ac:dyDescent="0.15">
      <c r="A124" s="6" t="s">
        <v>4</v>
      </c>
      <c r="B124" s="53" t="s">
        <v>43</v>
      </c>
      <c r="C124" s="53"/>
      <c r="D124" s="53"/>
      <c r="E124" s="53"/>
      <c r="F124" s="53"/>
      <c r="G124" s="53"/>
      <c r="H124" s="53"/>
      <c r="I124" s="53"/>
      <c r="J124" s="53"/>
      <c r="O124" s="145"/>
    </row>
    <row r="125" spans="1:15" ht="6.5" customHeight="1" x14ac:dyDescent="0.15">
      <c r="O125" s="145"/>
    </row>
    <row r="126" spans="1:15" x14ac:dyDescent="0.15">
      <c r="B126" s="18" t="str">
        <f>CONCATENATE("LTM "&amp;N129&amp;"")</f>
        <v>LTM ARR</v>
      </c>
      <c r="J126" s="72">
        <f>IF(N128="EBITDA",J40,J34)</f>
        <v>23338.085970924141</v>
      </c>
      <c r="L126" s="30" t="s">
        <v>78</v>
      </c>
      <c r="M126" s="31"/>
      <c r="N126" s="32"/>
      <c r="O126" s="145"/>
    </row>
    <row r="127" spans="1:15" x14ac:dyDescent="0.15">
      <c r="B127" s="9" t="s">
        <v>58</v>
      </c>
      <c r="J127" s="12">
        <f>N131</f>
        <v>2.9539188656951554</v>
      </c>
      <c r="L127" s="33" t="s">
        <v>46</v>
      </c>
      <c r="N127" s="91">
        <f>N15</f>
        <v>15000</v>
      </c>
      <c r="O127" s="145"/>
    </row>
    <row r="128" spans="1:15" x14ac:dyDescent="0.15">
      <c r="B128" s="65" t="s">
        <v>84</v>
      </c>
      <c r="C128" s="65"/>
      <c r="D128" s="65"/>
      <c r="E128" s="65"/>
      <c r="F128" s="65"/>
      <c r="G128" s="65"/>
      <c r="H128" s="65"/>
      <c r="I128" s="65"/>
      <c r="J128" s="71">
        <f>J126*J127</f>
        <v>68938.812438728259</v>
      </c>
      <c r="L128" s="3" t="s">
        <v>47</v>
      </c>
      <c r="N128" s="22" t="str">
        <f>N16</f>
        <v>ARR</v>
      </c>
      <c r="O128" s="145"/>
    </row>
    <row r="129" spans="2:16" x14ac:dyDescent="0.15">
      <c r="B129" s="69" t="s">
        <v>59</v>
      </c>
      <c r="J129" s="25">
        <f>J70</f>
        <v>562.69468070235916</v>
      </c>
      <c r="L129" s="33" t="s">
        <v>48</v>
      </c>
      <c r="N129" s="22" t="str">
        <f>N128</f>
        <v>ARR</v>
      </c>
      <c r="O129" s="145"/>
    </row>
    <row r="130" spans="2:16" x14ac:dyDescent="0.15">
      <c r="B130" s="69" t="s">
        <v>60</v>
      </c>
      <c r="J130" s="92">
        <f>-J78-J87</f>
        <v>0</v>
      </c>
      <c r="L130" s="33" t="s">
        <v>49</v>
      </c>
      <c r="N130" s="23">
        <f>IF(N128="EBITDA",N127/E40,N127/E34)</f>
        <v>2.9539188656951554</v>
      </c>
      <c r="O130" s="145"/>
    </row>
    <row r="131" spans="2:16" x14ac:dyDescent="0.15">
      <c r="B131" s="65" t="s">
        <v>61</v>
      </c>
      <c r="C131" s="65"/>
      <c r="D131" s="65"/>
      <c r="E131" s="65"/>
      <c r="F131" s="65"/>
      <c r="G131" s="65"/>
      <c r="H131" s="65"/>
      <c r="I131" s="65"/>
      <c r="J131" s="71">
        <f>SUM(J128:J130)</f>
        <v>69501.507119430622</v>
      </c>
      <c r="L131" s="33" t="s">
        <v>2</v>
      </c>
      <c r="N131" s="23">
        <f>N130</f>
        <v>2.9539188656951554</v>
      </c>
      <c r="O131" s="144" t="s">
        <v>110</v>
      </c>
    </row>
    <row r="132" spans="2:16" x14ac:dyDescent="0.15">
      <c r="B132" s="9" t="s">
        <v>62</v>
      </c>
      <c r="J132" s="25">
        <f>MAX(MIN(J120-F117,J131),0)</f>
        <v>6247.2260302848008</v>
      </c>
      <c r="L132" s="19" t="s">
        <v>133</v>
      </c>
      <c r="M132" s="52"/>
      <c r="N132" s="10">
        <v>1</v>
      </c>
      <c r="O132" s="145"/>
      <c r="P132" s="21"/>
    </row>
    <row r="133" spans="2:16" x14ac:dyDescent="0.15">
      <c r="B133" s="9" t="s">
        <v>65</v>
      </c>
      <c r="J133" s="92">
        <f>MIN(MIN(F117,J131-J132),J120)</f>
        <v>13311</v>
      </c>
      <c r="P133" s="21"/>
    </row>
    <row r="134" spans="2:16" x14ac:dyDescent="0.15">
      <c r="B134" s="65" t="s">
        <v>72</v>
      </c>
      <c r="C134" s="65"/>
      <c r="D134" s="65"/>
      <c r="E134" s="65"/>
      <c r="F134" s="65"/>
      <c r="G134" s="65"/>
      <c r="H134" s="65"/>
      <c r="I134" s="65"/>
      <c r="J134" s="71">
        <f>J131-J132-J133</f>
        <v>49943.281089145821</v>
      </c>
      <c r="L134" s="25"/>
      <c r="P134" s="21"/>
    </row>
    <row r="135" spans="2:16" x14ac:dyDescent="0.15">
      <c r="B135" s="69" t="s">
        <v>132</v>
      </c>
      <c r="J135" s="25">
        <f ca="1">IF($H$102=0,0,IF($N$132=0,0,MIN((SUM(F118:J118)*(H112/H111)*(D113/D107)),$J$134)))</f>
        <v>1883.5812626349341</v>
      </c>
      <c r="L135" s="161"/>
      <c r="M135" s="158"/>
      <c r="P135" s="21"/>
    </row>
    <row r="136" spans="2:16" x14ac:dyDescent="0.15">
      <c r="B136" s="65" t="s">
        <v>73</v>
      </c>
      <c r="C136" s="65"/>
      <c r="D136" s="65"/>
      <c r="E136" s="65"/>
      <c r="F136" s="65"/>
      <c r="G136" s="65"/>
      <c r="H136" s="65"/>
      <c r="I136" s="65"/>
      <c r="J136" s="71">
        <f ca="1">J134-J135</f>
        <v>48059.699826510885</v>
      </c>
      <c r="L136" s="159"/>
      <c r="M136" s="160"/>
      <c r="P136" s="21"/>
    </row>
    <row r="137" spans="2:16" x14ac:dyDescent="0.15">
      <c r="B137" s="18" t="s">
        <v>66</v>
      </c>
      <c r="I137" s="88">
        <f>D103</f>
        <v>0.05</v>
      </c>
      <c r="J137" s="25">
        <f ca="1">I137*J136</f>
        <v>2402.9849913255443</v>
      </c>
      <c r="L137" s="25"/>
      <c r="M137" s="159"/>
    </row>
    <row r="138" spans="2:16" x14ac:dyDescent="0.15">
      <c r="B138" s="18" t="s">
        <v>67</v>
      </c>
      <c r="I138" s="88">
        <f ca="1">1-I139-I137</f>
        <v>0.71827439307487684</v>
      </c>
      <c r="J138" s="25">
        <f ca="1">I138*J136</f>
        <v>34520.051724247867</v>
      </c>
      <c r="L138" s="88"/>
    </row>
    <row r="139" spans="2:16" x14ac:dyDescent="0.15">
      <c r="B139" s="18" t="s">
        <v>117</v>
      </c>
      <c r="I139" s="88">
        <f ca="1">IF(H102=0,0,(D105+D106+D113)*(1-$I$137))</f>
        <v>0.23172560692512312</v>
      </c>
      <c r="J139" s="25">
        <f ca="1">I139*J136</f>
        <v>11136.663110937468</v>
      </c>
      <c r="L139" s="25"/>
    </row>
    <row r="140" spans="2:16" x14ac:dyDescent="0.15">
      <c r="B140" s="75" t="s">
        <v>44</v>
      </c>
      <c r="C140" s="75"/>
      <c r="D140" s="75"/>
      <c r="E140" s="75"/>
      <c r="F140" s="75"/>
      <c r="G140" s="75"/>
      <c r="H140" s="75"/>
      <c r="I140" s="93">
        <f ca="1">SUM(I137:I139)-100%</f>
        <v>0</v>
      </c>
      <c r="J140" s="93">
        <f ca="1">SUM(J137:J139)-J136</f>
        <v>0</v>
      </c>
      <c r="M140" s="72"/>
    </row>
    <row r="141" spans="2:16" x14ac:dyDescent="0.15">
      <c r="B141" s="75"/>
      <c r="C141" s="75"/>
      <c r="D141" s="75"/>
      <c r="E141" s="75"/>
      <c r="F141" s="75"/>
      <c r="G141" s="75"/>
      <c r="H141" s="75"/>
      <c r="I141" s="93"/>
      <c r="J141" s="93"/>
    </row>
    <row r="142" spans="2:16" x14ac:dyDescent="0.15">
      <c r="B142" s="138" t="s">
        <v>109</v>
      </c>
      <c r="C142" s="139"/>
      <c r="D142" s="139"/>
      <c r="E142" s="139"/>
      <c r="F142" s="139"/>
      <c r="G142" s="139"/>
      <c r="H142" s="139"/>
      <c r="I142" s="140"/>
      <c r="J142" s="128">
        <f>IF(N24="LLC",H107*SUM(F51:J51),0)</f>
        <v>0</v>
      </c>
    </row>
    <row r="143" spans="2:16" x14ac:dyDescent="0.15">
      <c r="B143" s="76"/>
    </row>
    <row r="144" spans="2:16" x14ac:dyDescent="0.15">
      <c r="B144" s="94" t="s">
        <v>111</v>
      </c>
      <c r="C144" s="95"/>
      <c r="D144" s="70"/>
      <c r="E144" s="106">
        <f>-C23</f>
        <v>-12561</v>
      </c>
      <c r="F144" s="106">
        <f>F69</f>
        <v>0</v>
      </c>
      <c r="G144" s="106">
        <f>G69</f>
        <v>0</v>
      </c>
      <c r="H144" s="106">
        <f>H69</f>
        <v>0</v>
      </c>
      <c r="I144" s="106">
        <f>I69</f>
        <v>0</v>
      </c>
      <c r="J144" s="107">
        <f ca="1">J138+J132+J133+J142</f>
        <v>54078.277754532668</v>
      </c>
      <c r="M144" s="21"/>
      <c r="P144" s="21"/>
    </row>
    <row r="145" spans="1:13" x14ac:dyDescent="0.15">
      <c r="B145" s="96"/>
      <c r="C145" s="62"/>
      <c r="D145" s="62"/>
      <c r="E145" s="62"/>
      <c r="F145" s="62"/>
      <c r="G145" s="62"/>
      <c r="H145" s="62"/>
      <c r="I145" s="62"/>
      <c r="J145" s="97"/>
      <c r="M145" s="21"/>
    </row>
    <row r="146" spans="1:13" x14ac:dyDescent="0.15">
      <c r="B146" s="96"/>
      <c r="C146" s="62"/>
      <c r="D146" s="62"/>
      <c r="E146" s="62"/>
      <c r="F146" s="62"/>
      <c r="G146" s="62"/>
      <c r="H146" s="98" t="s">
        <v>112</v>
      </c>
      <c r="I146" s="62"/>
      <c r="J146" s="99">
        <f ca="1">IRR(E144:J144)</f>
        <v>0.33905904470023329</v>
      </c>
    </row>
    <row r="147" spans="1:13" x14ac:dyDescent="0.15">
      <c r="B147" s="96"/>
      <c r="C147" s="62"/>
      <c r="D147" s="62"/>
      <c r="E147" s="62"/>
      <c r="F147" s="62"/>
      <c r="G147" s="62"/>
      <c r="H147" s="98" t="s">
        <v>113</v>
      </c>
      <c r="I147" s="62"/>
      <c r="J147" s="100">
        <f ca="1">J144/-E144</f>
        <v>4.3052525877344694</v>
      </c>
    </row>
    <row r="148" spans="1:13" x14ac:dyDescent="0.15">
      <c r="B148" s="101"/>
      <c r="C148" s="102"/>
      <c r="D148" s="102"/>
      <c r="E148" s="102"/>
      <c r="F148" s="102"/>
      <c r="G148" s="102"/>
      <c r="H148" s="26" t="s">
        <v>118</v>
      </c>
      <c r="I148" s="102"/>
      <c r="J148" s="103">
        <f ca="1">J139+J135</f>
        <v>13020.244373572403</v>
      </c>
    </row>
    <row r="149" spans="1:13" x14ac:dyDescent="0.15">
      <c r="A149" s="6" t="s">
        <v>4</v>
      </c>
    </row>
  </sheetData>
  <mergeCells count="2">
    <mergeCell ref="B28:J28"/>
    <mergeCell ref="B98:J98"/>
  </mergeCells>
  <conditionalFormatting sqref="B34:L35">
    <cfRule type="expression" dxfId="3" priority="2">
      <formula>$N$16="EBITDA"</formula>
    </cfRule>
  </conditionalFormatting>
  <conditionalFormatting sqref="F38:J38">
    <cfRule type="expression" dxfId="2" priority="1">
      <formula>$N$16="ARR"</formula>
    </cfRule>
  </conditionalFormatting>
  <dataValidations count="3">
    <dataValidation type="list" allowBlank="1" showInputMessage="1" showErrorMessage="1" sqref="N24" xr:uid="{66CF6166-4AB8-46D2-8BC2-C5DE786E8AD6}">
      <formula1>"LLC, C-corp"</formula1>
    </dataValidation>
    <dataValidation type="list" allowBlank="1" showInputMessage="1" showErrorMessage="1" sqref="N16" xr:uid="{7A609FEA-D840-4B6C-8AEC-983EF60E74A5}">
      <formula1>"EBITDA, ARR"</formula1>
    </dataValidation>
    <dataValidation type="list" allowBlank="1" showInputMessage="1" showErrorMessage="1" sqref="N26 H102 N132 N23" xr:uid="{4576098E-4E18-4661-B889-1CE85927EEFC}">
      <formula1>"0,1"</formula1>
    </dataValidation>
  </dataValidations>
  <hyperlinks>
    <hyperlink ref="O18" r:id="rId1" display="https://www.gsb.stanford.edu/faculty-research/case-studies/2024-search-fund-study" xr:uid="{3939E2E4-F99B-4241-B2C7-BB7225364569}"/>
    <hyperlink ref="O41" r:id="rId2" display="Research" xr:uid="{E55324A9-022E-4D6A-8AE6-2357A194C757}"/>
    <hyperlink ref="O25" r:id="rId3" xr:uid="{EC67C805-B43A-4E13-B84C-980AF3AF2D51}"/>
  </hyperlinks>
  <pageMargins left="0.7" right="0.7" top="0.75" bottom="0.75" header="0.3" footer="0.3"/>
  <pageSetup orientation="portrait" verticalDpi="0"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6A0EA-8668-4856-89C9-342C040EE178}">
  <dimension ref="A1:XFD149"/>
  <sheetViews>
    <sheetView showGridLines="0" tabSelected="1" zoomScale="120" zoomScaleNormal="120" zoomScaleSheetLayoutView="69" workbookViewId="0">
      <selection activeCell="B3" sqref="B3"/>
    </sheetView>
  </sheetViews>
  <sheetFormatPr baseColWidth="10" defaultColWidth="8.6640625" defaultRowHeight="11" x14ac:dyDescent="0.15"/>
  <cols>
    <col min="1" max="1" width="2.6640625" style="6" customWidth="1"/>
    <col min="2" max="2" width="25.6640625" style="18" customWidth="1"/>
    <col min="3" max="10" width="8.6640625" style="18" customWidth="1"/>
    <col min="11" max="11" width="2.6640625" style="18" customWidth="1"/>
    <col min="12" max="12" width="8.6640625" style="2" customWidth="1"/>
    <col min="13" max="13" width="8.6640625" style="18" customWidth="1"/>
    <col min="14" max="14" width="9.83203125" style="18" bestFit="1" customWidth="1"/>
    <col min="15" max="19" width="8.6640625" style="18" customWidth="1"/>
    <col min="20" max="16384" width="8.6640625" style="18"/>
  </cols>
  <sheetData>
    <row r="1" spans="1:22" x14ac:dyDescent="0.15">
      <c r="A1" s="18"/>
    </row>
    <row r="2" spans="1:22" ht="25" x14ac:dyDescent="0.25">
      <c r="A2" s="6" t="s">
        <v>4</v>
      </c>
      <c r="B2" s="27" t="s">
        <v>156</v>
      </c>
      <c r="C2" s="28"/>
      <c r="D2" s="28"/>
      <c r="E2" s="28"/>
      <c r="F2" s="28"/>
      <c r="G2" s="28"/>
      <c r="H2" s="28"/>
      <c r="I2" s="28"/>
      <c r="J2" s="28"/>
      <c r="K2" s="28"/>
      <c r="L2" s="1"/>
      <c r="M2" s="28"/>
      <c r="N2" s="28"/>
      <c r="O2" s="28"/>
      <c r="P2" s="28"/>
      <c r="Q2" s="28"/>
      <c r="R2" s="28"/>
      <c r="S2" s="28"/>
    </row>
    <row r="3" spans="1:22" ht="6.5" customHeight="1" x14ac:dyDescent="0.15"/>
    <row r="4" spans="1:22" ht="10.5" customHeight="1" x14ac:dyDescent="0.15">
      <c r="B4" s="113" t="s">
        <v>86</v>
      </c>
      <c r="C4" s="70"/>
      <c r="D4" s="70"/>
      <c r="E4" s="70"/>
      <c r="F4" s="70"/>
      <c r="G4" s="70"/>
      <c r="H4" s="70"/>
      <c r="I4" s="70"/>
      <c r="J4" s="70"/>
      <c r="K4" s="70"/>
      <c r="L4" s="108"/>
      <c r="M4" s="70"/>
      <c r="N4" s="70"/>
      <c r="O4" s="70"/>
      <c r="P4" s="70"/>
      <c r="Q4" s="70"/>
      <c r="R4" s="70"/>
      <c r="S4" s="109"/>
    </row>
    <row r="5" spans="1:22" ht="10.5" customHeight="1" x14ac:dyDescent="0.15">
      <c r="B5" s="115" t="s">
        <v>139</v>
      </c>
      <c r="C5" s="62"/>
      <c r="D5" s="62"/>
      <c r="E5" s="62"/>
      <c r="F5" s="62"/>
      <c r="G5" s="62"/>
      <c r="H5" s="62"/>
      <c r="I5" s="62"/>
      <c r="J5" s="62"/>
      <c r="K5" s="62"/>
      <c r="L5" s="110"/>
      <c r="M5" s="62"/>
      <c r="N5" s="62"/>
      <c r="O5" s="62"/>
      <c r="P5" s="62"/>
      <c r="Q5" s="62"/>
      <c r="R5" s="62"/>
      <c r="S5" s="97"/>
      <c r="V5" s="119"/>
    </row>
    <row r="6" spans="1:22" ht="10.5" customHeight="1" x14ac:dyDescent="0.15">
      <c r="B6" s="115" t="s">
        <v>138</v>
      </c>
      <c r="C6" s="62"/>
      <c r="D6" s="62"/>
      <c r="E6" s="62"/>
      <c r="F6" s="62"/>
      <c r="G6" s="62"/>
      <c r="H6" s="62"/>
      <c r="I6" s="62"/>
      <c r="J6" s="62"/>
      <c r="K6" s="62"/>
      <c r="L6" s="110"/>
      <c r="M6" s="62"/>
      <c r="N6" s="62"/>
      <c r="O6" s="62"/>
      <c r="P6" s="62"/>
      <c r="Q6" s="62"/>
      <c r="R6" s="62"/>
      <c r="S6" s="97"/>
    </row>
    <row r="7" spans="1:22" ht="10.5" customHeight="1" x14ac:dyDescent="0.15">
      <c r="B7" s="115" t="s">
        <v>90</v>
      </c>
      <c r="C7" s="62"/>
      <c r="D7" s="62"/>
      <c r="E7" s="62"/>
      <c r="F7" s="62"/>
      <c r="G7" s="62"/>
      <c r="H7" s="62"/>
      <c r="I7" s="62"/>
      <c r="J7" s="62"/>
      <c r="K7" s="62"/>
      <c r="L7" s="110"/>
      <c r="M7" s="62"/>
      <c r="N7" s="62"/>
      <c r="O7" s="62"/>
      <c r="P7" s="62"/>
      <c r="Q7" s="62"/>
      <c r="R7" s="62"/>
      <c r="S7" s="97"/>
    </row>
    <row r="8" spans="1:22" ht="10.5" customHeight="1" x14ac:dyDescent="0.15">
      <c r="B8" s="114" t="s">
        <v>87</v>
      </c>
      <c r="C8" s="62"/>
      <c r="D8" s="62"/>
      <c r="E8" s="62"/>
      <c r="F8" s="62"/>
      <c r="G8" s="62"/>
      <c r="H8" s="62"/>
      <c r="I8" s="62"/>
      <c r="J8" s="62"/>
      <c r="K8" s="62"/>
      <c r="L8" s="110"/>
      <c r="M8" s="62"/>
      <c r="N8" s="62"/>
      <c r="O8" s="62"/>
      <c r="P8" s="62"/>
      <c r="Q8" s="62"/>
      <c r="R8" s="62"/>
      <c r="S8" s="97"/>
    </row>
    <row r="9" spans="1:22" ht="10.5" customHeight="1" x14ac:dyDescent="0.15">
      <c r="B9" s="115" t="s">
        <v>115</v>
      </c>
      <c r="C9" s="62"/>
      <c r="D9" s="62"/>
      <c r="E9" s="62"/>
      <c r="F9" s="62"/>
      <c r="G9" s="62"/>
      <c r="H9" s="62"/>
      <c r="I9" s="62"/>
      <c r="J9" s="62"/>
      <c r="K9" s="62"/>
      <c r="L9" s="110"/>
      <c r="M9" s="62"/>
      <c r="N9" s="62"/>
      <c r="O9" s="62"/>
      <c r="P9" s="62"/>
      <c r="Q9" s="62"/>
      <c r="R9" s="62"/>
      <c r="S9" s="97"/>
    </row>
    <row r="10" spans="1:22" ht="10.5" customHeight="1" x14ac:dyDescent="0.15">
      <c r="B10" s="116" t="s">
        <v>88</v>
      </c>
      <c r="C10" s="102"/>
      <c r="D10" s="102"/>
      <c r="E10" s="102"/>
      <c r="F10" s="102"/>
      <c r="G10" s="102"/>
      <c r="H10" s="102"/>
      <c r="I10" s="102"/>
      <c r="J10" s="102"/>
      <c r="K10" s="102"/>
      <c r="L10" s="111"/>
      <c r="M10" s="102"/>
      <c r="N10" s="102"/>
      <c r="O10" s="102"/>
      <c r="P10" s="102"/>
      <c r="Q10" s="102"/>
      <c r="R10" s="102"/>
      <c r="S10" s="112"/>
    </row>
    <row r="11" spans="1:22" ht="6.5" customHeight="1" x14ac:dyDescent="0.15"/>
    <row r="12" spans="1:22" x14ac:dyDescent="0.15">
      <c r="B12" s="21" t="s">
        <v>5</v>
      </c>
      <c r="L12" s="8" t="s">
        <v>44</v>
      </c>
      <c r="M12" s="29"/>
      <c r="N12" s="16" t="str">
        <f>IF(SUM(F67:J67)&gt;0,"Cash Shortfall","OK")</f>
        <v>OK</v>
      </c>
      <c r="O12" s="144" t="s">
        <v>89</v>
      </c>
    </row>
    <row r="13" spans="1:22" ht="6.5" customHeight="1" x14ac:dyDescent="0.15">
      <c r="O13" s="145"/>
    </row>
    <row r="14" spans="1:22" ht="10.5" customHeight="1" x14ac:dyDescent="0.15">
      <c r="A14" s="6" t="s">
        <v>4</v>
      </c>
      <c r="B14" s="30" t="s">
        <v>6</v>
      </c>
      <c r="C14" s="31"/>
      <c r="D14" s="31"/>
      <c r="E14" s="32"/>
      <c r="G14" s="30" t="s">
        <v>7</v>
      </c>
      <c r="H14" s="31"/>
      <c r="I14" s="31"/>
      <c r="J14" s="32"/>
      <c r="L14" s="30" t="s">
        <v>39</v>
      </c>
      <c r="M14" s="31"/>
      <c r="N14" s="32"/>
      <c r="O14" s="145"/>
    </row>
    <row r="15" spans="1:22" x14ac:dyDescent="0.15">
      <c r="B15" s="33"/>
      <c r="C15" s="122" t="s">
        <v>10</v>
      </c>
      <c r="D15" s="122" t="str">
        <f>CONCATENATE("x",$N$16)</f>
        <v>xEBITDA</v>
      </c>
      <c r="E15" s="123" t="s">
        <v>11</v>
      </c>
      <c r="G15" s="33"/>
      <c r="H15" s="122" t="s">
        <v>10</v>
      </c>
      <c r="I15" s="122" t="str">
        <f>CONCATENATE("x",$N$16)</f>
        <v>xEBITDA</v>
      </c>
      <c r="J15" s="123" t="s">
        <v>11</v>
      </c>
      <c r="L15" s="3" t="s">
        <v>3</v>
      </c>
      <c r="N15" s="17">
        <f>E40*8</f>
        <v>16000</v>
      </c>
      <c r="O15" s="144" t="s">
        <v>85</v>
      </c>
    </row>
    <row r="16" spans="1:22" x14ac:dyDescent="0.15">
      <c r="B16" s="33" t="s">
        <v>8</v>
      </c>
      <c r="C16" s="34">
        <f>D16*E40</f>
        <v>6000</v>
      </c>
      <c r="D16" s="35">
        <f>N20</f>
        <v>3</v>
      </c>
      <c r="E16" s="13">
        <f>C16/C25</f>
        <v>0.35294117647058826</v>
      </c>
      <c r="F16" s="36"/>
      <c r="G16" s="37" t="s">
        <v>3</v>
      </c>
      <c r="H16" s="34">
        <f>N15</f>
        <v>16000</v>
      </c>
      <c r="I16" s="35">
        <f>H16/$N$17</f>
        <v>8</v>
      </c>
      <c r="J16" s="13">
        <f>H16/$H$25</f>
        <v>0.94117647058823528</v>
      </c>
      <c r="L16" s="3" t="s">
        <v>49</v>
      </c>
      <c r="N16" s="11" t="s">
        <v>1</v>
      </c>
    </row>
    <row r="17" spans="1:23" x14ac:dyDescent="0.15">
      <c r="B17" s="38" t="s">
        <v>0</v>
      </c>
      <c r="C17" s="39">
        <f>N21</f>
        <v>1500</v>
      </c>
      <c r="D17" s="40">
        <f>C17/$N$17</f>
        <v>0.75</v>
      </c>
      <c r="E17" s="14">
        <f>C17/C25</f>
        <v>8.8235294117647065E-2</v>
      </c>
      <c r="F17" s="36"/>
      <c r="G17" s="37" t="s">
        <v>98</v>
      </c>
      <c r="H17" s="41">
        <f>H16*N19</f>
        <v>800</v>
      </c>
      <c r="I17" s="35">
        <f>H17/$N$17</f>
        <v>0.4</v>
      </c>
      <c r="J17" s="13">
        <f>H17/$H$25</f>
        <v>4.7058823529411764E-2</v>
      </c>
      <c r="L17" s="3" t="str">
        <f>IF(N16="ARR","Ending ARR","LTM EBITDA")</f>
        <v>LTM EBITDA</v>
      </c>
      <c r="N17" s="162">
        <f>IF(N16="ARR",E34,E40)</f>
        <v>2000</v>
      </c>
    </row>
    <row r="18" spans="1:23" x14ac:dyDescent="0.15">
      <c r="B18" s="33" t="s">
        <v>33</v>
      </c>
      <c r="C18" s="34">
        <f>SUM(C16:C17)</f>
        <v>7500</v>
      </c>
      <c r="D18" s="35">
        <f>C18/$N$17</f>
        <v>3.75</v>
      </c>
      <c r="E18" s="13">
        <f>C18/$C$25</f>
        <v>0.44117647058823528</v>
      </c>
      <c r="F18" s="36"/>
      <c r="G18" s="37" t="s">
        <v>37</v>
      </c>
      <c r="H18" s="41">
        <f>N22</f>
        <v>200</v>
      </c>
      <c r="I18" s="35">
        <f>H18/$N$17</f>
        <v>0.1</v>
      </c>
      <c r="J18" s="13">
        <f>H18/$H$25</f>
        <v>1.1764705882352941E-2</v>
      </c>
      <c r="L18" s="3" t="s">
        <v>127</v>
      </c>
      <c r="N18" s="157">
        <v>46022</v>
      </c>
      <c r="O18" s="149" t="s">
        <v>76</v>
      </c>
    </row>
    <row r="19" spans="1:23" x14ac:dyDescent="0.15">
      <c r="B19" s="33"/>
      <c r="C19" s="43"/>
      <c r="D19" s="44"/>
      <c r="E19" s="45"/>
      <c r="F19" s="36"/>
      <c r="G19" s="37"/>
      <c r="H19" s="36"/>
      <c r="I19" s="42"/>
      <c r="J19" s="13"/>
      <c r="L19" s="3" t="s">
        <v>40</v>
      </c>
      <c r="N19" s="4">
        <v>0.05</v>
      </c>
    </row>
    <row r="20" spans="1:23" x14ac:dyDescent="0.15">
      <c r="B20" s="121" t="s">
        <v>96</v>
      </c>
      <c r="C20" s="43"/>
      <c r="D20" s="124" t="s">
        <v>97</v>
      </c>
      <c r="E20" s="45"/>
      <c r="F20" s="36"/>
      <c r="G20" s="37"/>
      <c r="H20" s="36"/>
      <c r="I20" s="42"/>
      <c r="J20" s="13"/>
      <c r="L20" s="3" t="str">
        <f>CONCATENATE("Term Debt x",N16)</f>
        <v>Term Debt xEBITDA</v>
      </c>
      <c r="N20" s="7">
        <v>3</v>
      </c>
      <c r="O20" s="145"/>
      <c r="R20" s="119"/>
    </row>
    <row r="21" spans="1:23" x14ac:dyDescent="0.15">
      <c r="B21" s="33" t="s">
        <v>114</v>
      </c>
      <c r="C21" s="79">
        <f>D21*C23</f>
        <v>950</v>
      </c>
      <c r="D21" s="130">
        <f>N25</f>
        <v>0.1</v>
      </c>
      <c r="E21" s="127">
        <f>C21/C25</f>
        <v>5.5882352941176473E-2</v>
      </c>
      <c r="F21" s="36"/>
      <c r="G21" s="37"/>
      <c r="H21" s="36"/>
      <c r="I21" s="42"/>
      <c r="J21" s="13"/>
      <c r="L21" s="3" t="s">
        <v>41</v>
      </c>
      <c r="N21" s="17">
        <v>1500</v>
      </c>
      <c r="O21" s="144"/>
      <c r="P21" s="75"/>
      <c r="R21" s="119"/>
    </row>
    <row r="22" spans="1:23" x14ac:dyDescent="0.15">
      <c r="B22" s="33" t="s">
        <v>9</v>
      </c>
      <c r="C22" s="41">
        <f>D22*C23</f>
        <v>8550</v>
      </c>
      <c r="D22" s="130">
        <f>1-D21</f>
        <v>0.9</v>
      </c>
      <c r="E22" s="13">
        <f>C22/C25</f>
        <v>0.50294117647058822</v>
      </c>
      <c r="F22" s="36"/>
      <c r="G22" s="37"/>
      <c r="H22" s="36"/>
      <c r="I22" s="42"/>
      <c r="J22" s="13"/>
      <c r="L22" s="37" t="s">
        <v>37</v>
      </c>
      <c r="N22" s="17">
        <v>200</v>
      </c>
      <c r="O22" s="144" t="s">
        <v>135</v>
      </c>
      <c r="P22" s="75"/>
      <c r="R22" s="119"/>
    </row>
    <row r="23" spans="1:23" x14ac:dyDescent="0.15">
      <c r="B23" s="120" t="s">
        <v>95</v>
      </c>
      <c r="C23" s="125">
        <f>C25-C18</f>
        <v>9500</v>
      </c>
      <c r="D23" s="131">
        <f>SUM(C21:C22)/C23</f>
        <v>1</v>
      </c>
      <c r="E23" s="129">
        <f>C23/C25</f>
        <v>0.55882352941176472</v>
      </c>
      <c r="F23" s="36"/>
      <c r="G23" s="37"/>
      <c r="H23" s="36"/>
      <c r="I23" s="36"/>
      <c r="J23" s="45"/>
      <c r="L23" s="37" t="s">
        <v>102</v>
      </c>
      <c r="N23" s="10">
        <v>0</v>
      </c>
      <c r="O23" s="144" t="s">
        <v>108</v>
      </c>
      <c r="P23" s="75"/>
      <c r="R23" s="119"/>
      <c r="T23" s="51"/>
      <c r="U23" s="51"/>
      <c r="V23" s="51"/>
      <c r="W23" s="51"/>
    </row>
    <row r="24" spans="1:23" x14ac:dyDescent="0.15">
      <c r="B24" s="33"/>
      <c r="E24" s="46"/>
      <c r="G24" s="33"/>
      <c r="J24" s="46"/>
      <c r="L24" s="37" t="s">
        <v>99</v>
      </c>
      <c r="N24" s="10" t="s">
        <v>137</v>
      </c>
      <c r="O24" s="144" t="s">
        <v>128</v>
      </c>
      <c r="P24" s="75"/>
      <c r="U24" s="119"/>
    </row>
    <row r="25" spans="1:23" x14ac:dyDescent="0.15">
      <c r="B25" s="48" t="s">
        <v>12</v>
      </c>
      <c r="C25" s="49">
        <f>H25</f>
        <v>17000</v>
      </c>
      <c r="D25" s="50">
        <f>C25/$N$17</f>
        <v>8.5</v>
      </c>
      <c r="E25" s="15">
        <f>C25/$H$25</f>
        <v>1</v>
      </c>
      <c r="F25" s="51"/>
      <c r="G25" s="48" t="s">
        <v>13</v>
      </c>
      <c r="H25" s="49">
        <f>SUM(H16:H18)</f>
        <v>17000</v>
      </c>
      <c r="I25" s="50">
        <f>H25/$N$17</f>
        <v>8.5</v>
      </c>
      <c r="J25" s="15">
        <f>H25/$H$25</f>
        <v>1</v>
      </c>
      <c r="L25" s="37" t="s">
        <v>114</v>
      </c>
      <c r="N25" s="126">
        <v>0.1</v>
      </c>
      <c r="O25" s="151" t="s">
        <v>129</v>
      </c>
    </row>
    <row r="26" spans="1:23" x14ac:dyDescent="0.15">
      <c r="L26" s="3" t="s">
        <v>51</v>
      </c>
      <c r="N26" s="10">
        <v>0</v>
      </c>
      <c r="O26" s="144" t="s">
        <v>134</v>
      </c>
    </row>
    <row r="27" spans="1:23" x14ac:dyDescent="0.15">
      <c r="L27" s="33" t="s">
        <v>52</v>
      </c>
      <c r="N27" s="47">
        <v>500</v>
      </c>
    </row>
    <row r="28" spans="1:23" x14ac:dyDescent="0.15">
      <c r="B28" s="182" t="s">
        <v>14</v>
      </c>
      <c r="C28" s="182"/>
      <c r="D28" s="182"/>
      <c r="E28" s="182"/>
      <c r="F28" s="182"/>
      <c r="G28" s="182"/>
      <c r="H28" s="182"/>
      <c r="I28" s="182"/>
      <c r="J28" s="182"/>
      <c r="L28" s="19" t="s">
        <v>71</v>
      </c>
      <c r="M28" s="52"/>
      <c r="N28" s="104">
        <v>6000</v>
      </c>
    </row>
    <row r="29" spans="1:23" ht="6.5" customHeight="1" x14ac:dyDescent="0.15"/>
    <row r="30" spans="1:23" x14ac:dyDescent="0.15">
      <c r="E30" s="152" t="s">
        <v>131</v>
      </c>
      <c r="J30" s="152" t="s">
        <v>130</v>
      </c>
    </row>
    <row r="31" spans="1:23" x14ac:dyDescent="0.15">
      <c r="A31" s="6" t="s">
        <v>4</v>
      </c>
      <c r="B31" s="53" t="s">
        <v>20</v>
      </c>
      <c r="C31" s="53"/>
      <c r="D31" s="53"/>
      <c r="E31" s="53"/>
      <c r="F31" s="53"/>
      <c r="G31" s="53"/>
      <c r="H31" s="53"/>
      <c r="I31" s="53"/>
      <c r="J31" s="53"/>
      <c r="L31" s="53" t="s">
        <v>79</v>
      </c>
      <c r="M31" s="54"/>
      <c r="N31" s="55"/>
      <c r="O31" s="55"/>
      <c r="P31" s="55"/>
      <c r="Q31" s="55"/>
      <c r="R31" s="55"/>
      <c r="S31" s="55"/>
    </row>
    <row r="32" spans="1:23" ht="6.5" customHeight="1" x14ac:dyDescent="0.15">
      <c r="L32" s="6"/>
      <c r="O32" s="145"/>
    </row>
    <row r="33" spans="2:19 16384:16384" x14ac:dyDescent="0.15">
      <c r="C33" s="154">
        <f>EDATE(D33,-12)</f>
        <v>45291</v>
      </c>
      <c r="D33" s="154">
        <f>EDATE(E33,-12)</f>
        <v>45657</v>
      </c>
      <c r="E33" s="154">
        <f>N18</f>
        <v>46022</v>
      </c>
      <c r="F33" s="155">
        <f>EDATE(E33,12)</f>
        <v>46387</v>
      </c>
      <c r="G33" s="155">
        <f>EDATE(F33,12)</f>
        <v>46752</v>
      </c>
      <c r="H33" s="155">
        <f>EDATE(G33,12)</f>
        <v>47118</v>
      </c>
      <c r="I33" s="155">
        <f>EDATE(H33,12)</f>
        <v>47483</v>
      </c>
      <c r="J33" s="155">
        <f>EDATE(I33,12)</f>
        <v>47848</v>
      </c>
      <c r="L33" s="156" t="s">
        <v>91</v>
      </c>
    </row>
    <row r="34" spans="2:19 16384:16384" x14ac:dyDescent="0.15">
      <c r="B34" s="18" t="s">
        <v>141</v>
      </c>
      <c r="C34" s="168">
        <v>9796</v>
      </c>
      <c r="D34" s="168">
        <v>11304</v>
      </c>
      <c r="E34" s="168">
        <v>12700</v>
      </c>
      <c r="F34" s="57">
        <f>E34*(1+F35)</f>
        <v>13464.359999999999</v>
      </c>
      <c r="G34" s="57">
        <f>F34*(1+G35)</f>
        <v>15839.723200000006</v>
      </c>
      <c r="H34" s="57">
        <f>G34*(1+H35)</f>
        <v>17566.931647999998</v>
      </c>
      <c r="I34" s="57">
        <f>H34*(1+I35)</f>
        <v>21184.787975680003</v>
      </c>
      <c r="J34" s="57">
        <f>I34*(1+J35)</f>
        <v>23767.206787788797</v>
      </c>
      <c r="L34" s="117">
        <f>_xlfn.RRI(2,C34,E34)</f>
        <v>0.13861649803782483</v>
      </c>
      <c r="O34" s="144" t="s">
        <v>151</v>
      </c>
    </row>
    <row r="35" spans="2:19 16384:16384" x14ac:dyDescent="0.15">
      <c r="B35" s="21" t="s">
        <v>15</v>
      </c>
      <c r="C35" s="154"/>
      <c r="D35" s="169">
        <f>D34/C34-1</f>
        <v>0.15394038383013475</v>
      </c>
      <c r="E35" s="169">
        <f>E34/D34-1</f>
        <v>0.1234961075725407</v>
      </c>
      <c r="F35" s="181">
        <v>6.0185826771653517E-2</v>
      </c>
      <c r="G35" s="181">
        <v>0.17641857466675037</v>
      </c>
      <c r="H35" s="181">
        <v>0.10904284286987997</v>
      </c>
      <c r="I35" s="181">
        <v>0.2059469690082103</v>
      </c>
      <c r="J35" s="181">
        <v>0.12189967702643023</v>
      </c>
      <c r="L35" s="156"/>
    </row>
    <row r="36" spans="2:19 16384:16384" x14ac:dyDescent="0.15">
      <c r="C36" s="154"/>
      <c r="D36" s="169"/>
      <c r="E36" s="169"/>
      <c r="F36" s="171"/>
      <c r="G36" s="171"/>
      <c r="H36" s="171"/>
      <c r="I36" s="171"/>
      <c r="J36" s="171"/>
      <c r="L36" s="156"/>
    </row>
    <row r="37" spans="2:19 16384:16384" x14ac:dyDescent="0.15">
      <c r="B37" s="18" t="s">
        <v>154</v>
      </c>
      <c r="C37" s="56">
        <v>8000</v>
      </c>
      <c r="D37" s="56">
        <v>9000</v>
      </c>
      <c r="E37" s="56">
        <v>10000</v>
      </c>
      <c r="F37" s="57">
        <f>IF(N16="ARR",AVERAGE(F34,E34),E37*(1+F38))</f>
        <v>10500</v>
      </c>
      <c r="G37" s="57">
        <f>IF(O16="ARR",AVERAGE(G34,F34),F37*(1+G38))</f>
        <v>12600</v>
      </c>
      <c r="H37" s="57">
        <f>IF(P16="ARR",AVERAGE(H34,G34),G37*(1+H38))</f>
        <v>15120</v>
      </c>
      <c r="I37" s="57">
        <f>IF(Q16="ARR",AVERAGE(I34,H34),H37*(1+I38))</f>
        <v>18144</v>
      </c>
      <c r="J37" s="57">
        <f>IF(R16="ARR",AVERAGE(J34,I34),I37*(1+J38))</f>
        <v>21772.799999999999</v>
      </c>
      <c r="L37" s="117">
        <f>_xlfn.RRI(2,C37,E37)</f>
        <v>0.1180339887498949</v>
      </c>
      <c r="O37" s="144" t="s">
        <v>119</v>
      </c>
    </row>
    <row r="38" spans="2:19 16384:16384" ht="10" customHeight="1" x14ac:dyDescent="0.15">
      <c r="B38" s="21" t="s">
        <v>15</v>
      </c>
      <c r="C38" s="58"/>
      <c r="D38" s="59">
        <f>D37/C37-1</f>
        <v>0.125</v>
      </c>
      <c r="E38" s="59">
        <f>E37/D37-1</f>
        <v>0.11111111111111116</v>
      </c>
      <c r="F38" s="60">
        <v>0.05</v>
      </c>
      <c r="G38" s="60">
        <v>0.2</v>
      </c>
      <c r="H38" s="60">
        <v>0.2</v>
      </c>
      <c r="I38" s="60">
        <v>0.2</v>
      </c>
      <c r="J38" s="60">
        <v>0.2</v>
      </c>
      <c r="L38" s="118"/>
      <c r="O38" s="144" t="s">
        <v>152</v>
      </c>
      <c r="XFD38" s="61"/>
    </row>
    <row r="39" spans="2:19 16384:16384" x14ac:dyDescent="0.15">
      <c r="C39" s="62"/>
      <c r="D39" s="62"/>
      <c r="E39" s="62"/>
      <c r="O39" s="146"/>
    </row>
    <row r="40" spans="2:19 16384:16384" x14ac:dyDescent="0.15">
      <c r="B40" s="18" t="s">
        <v>153</v>
      </c>
      <c r="C40" s="56">
        <v>1800</v>
      </c>
      <c r="D40" s="56">
        <v>1900</v>
      </c>
      <c r="E40" s="56">
        <v>2000</v>
      </c>
      <c r="F40" s="57">
        <f>F41*F37</f>
        <v>2100</v>
      </c>
      <c r="G40" s="57">
        <f t="shared" ref="G40:J40" si="0">G41*G37</f>
        <v>3150</v>
      </c>
      <c r="H40" s="57">
        <f t="shared" si="0"/>
        <v>3780</v>
      </c>
      <c r="I40" s="57">
        <f t="shared" si="0"/>
        <v>5443.2</v>
      </c>
      <c r="J40" s="57">
        <f t="shared" si="0"/>
        <v>7185.0240000000003</v>
      </c>
      <c r="L40" s="117">
        <f>_xlfn.RRI(2,C40,E40)</f>
        <v>5.4092553389459841E-2</v>
      </c>
      <c r="O40" s="147" t="s">
        <v>120</v>
      </c>
    </row>
    <row r="41" spans="2:19 16384:16384" x14ac:dyDescent="0.15">
      <c r="B41" s="21" t="s">
        <v>16</v>
      </c>
      <c r="C41" s="59">
        <f>C40/C37</f>
        <v>0.22500000000000001</v>
      </c>
      <c r="D41" s="59">
        <f>D40/D37</f>
        <v>0.21111111111111111</v>
      </c>
      <c r="E41" s="59">
        <f>E40/E37</f>
        <v>0.2</v>
      </c>
      <c r="F41" s="60">
        <v>0.2</v>
      </c>
      <c r="G41" s="60">
        <v>0.25</v>
      </c>
      <c r="H41" s="60">
        <v>0.25</v>
      </c>
      <c r="I41" s="60">
        <v>0.3</v>
      </c>
      <c r="J41" s="60">
        <v>0.33</v>
      </c>
      <c r="O41" s="150" t="s">
        <v>77</v>
      </c>
      <c r="XFD41" s="60"/>
    </row>
    <row r="42" spans="2:19 16384:16384" x14ac:dyDescent="0.15">
      <c r="B42" s="21"/>
      <c r="C42" s="59"/>
      <c r="D42" s="59"/>
      <c r="E42" s="59"/>
      <c r="F42" s="60"/>
      <c r="G42" s="60"/>
      <c r="H42" s="60"/>
      <c r="I42" s="60"/>
      <c r="J42" s="60"/>
      <c r="XFD42" s="60"/>
    </row>
    <row r="43" spans="2:19 16384:16384" x14ac:dyDescent="0.15">
      <c r="B43" s="18" t="s">
        <v>153</v>
      </c>
      <c r="C43" s="59"/>
      <c r="D43" s="59"/>
      <c r="E43" s="59"/>
      <c r="F43" s="63">
        <f>F40</f>
        <v>2100</v>
      </c>
      <c r="G43" s="63">
        <f t="shared" ref="G43:J43" si="1">G40</f>
        <v>3150</v>
      </c>
      <c r="H43" s="63">
        <f t="shared" si="1"/>
        <v>3780</v>
      </c>
      <c r="I43" s="63">
        <f t="shared" si="1"/>
        <v>5443.2</v>
      </c>
      <c r="J43" s="63">
        <f t="shared" si="1"/>
        <v>7185.0240000000003</v>
      </c>
      <c r="XFD43" s="60"/>
    </row>
    <row r="44" spans="2:19 16384:16384" x14ac:dyDescent="0.15">
      <c r="B44" s="18" t="s">
        <v>22</v>
      </c>
      <c r="C44" s="59"/>
      <c r="D44" s="59"/>
      <c r="E44" s="59"/>
      <c r="F44" s="64">
        <f>-($L$44*F37)</f>
        <v>-105</v>
      </c>
      <c r="G44" s="64">
        <f>-($L$44*G37)</f>
        <v>-126</v>
      </c>
      <c r="H44" s="64">
        <f>-($L$44*H37)</f>
        <v>-151.20000000000002</v>
      </c>
      <c r="I44" s="64">
        <f>-($L$44*I37)</f>
        <v>-181.44</v>
      </c>
      <c r="J44" s="64">
        <f>-($L$44*J37)</f>
        <v>-217.72800000000001</v>
      </c>
      <c r="L44" s="5">
        <v>0.01</v>
      </c>
      <c r="M44" s="18" t="s">
        <v>17</v>
      </c>
      <c r="O44" s="144" t="s">
        <v>94</v>
      </c>
      <c r="XFD44" s="60"/>
    </row>
    <row r="45" spans="2:19 16384:16384" x14ac:dyDescent="0.15">
      <c r="B45" s="65" t="s">
        <v>21</v>
      </c>
      <c r="C45" s="66"/>
      <c r="D45" s="66"/>
      <c r="E45" s="66"/>
      <c r="F45" s="67">
        <f>SUM(F43:F44)</f>
        <v>1995</v>
      </c>
      <c r="G45" s="67">
        <f>SUM(G43:G44)</f>
        <v>3024</v>
      </c>
      <c r="H45" s="67">
        <f>SUM(H43:H44)</f>
        <v>3628.8</v>
      </c>
      <c r="I45" s="67">
        <f>SUM(I43:I44)</f>
        <v>5261.76</v>
      </c>
      <c r="J45" s="67">
        <f>SUM(J43:J44)</f>
        <v>6967.2960000000003</v>
      </c>
      <c r="L45" s="6"/>
      <c r="O45" s="145"/>
      <c r="XFD45" s="60"/>
    </row>
    <row r="46" spans="2:19 16384:16384" x14ac:dyDescent="0.15">
      <c r="B46" s="21"/>
      <c r="C46" s="59"/>
      <c r="D46" s="59"/>
      <c r="E46" s="59"/>
      <c r="F46" s="60"/>
      <c r="G46" s="60"/>
      <c r="H46" s="60"/>
      <c r="I46" s="60"/>
      <c r="J46" s="60"/>
      <c r="L46" s="6"/>
      <c r="O46" s="145"/>
      <c r="XFD46" s="60"/>
    </row>
    <row r="47" spans="2:19 16384:16384" x14ac:dyDescent="0.15">
      <c r="B47" s="18" t="s">
        <v>23</v>
      </c>
      <c r="C47" s="59"/>
      <c r="D47" s="59"/>
      <c r="E47" s="59"/>
      <c r="F47" s="165">
        <f>-F80-F89</f>
        <v>-840</v>
      </c>
      <c r="G47" s="165">
        <f>-G80-G89</f>
        <v>-840</v>
      </c>
      <c r="H47" s="165">
        <f>-H80-H89</f>
        <v>-840</v>
      </c>
      <c r="I47" s="165">
        <f>-I80-I89</f>
        <v>-840</v>
      </c>
      <c r="J47" s="165">
        <f>-J80-J89</f>
        <v>-840</v>
      </c>
      <c r="L47" s="6"/>
      <c r="O47" s="145"/>
      <c r="XFD47" s="60"/>
    </row>
    <row r="48" spans="2:19 16384:16384" x14ac:dyDescent="0.15">
      <c r="B48" s="65" t="s">
        <v>24</v>
      </c>
      <c r="C48" s="66"/>
      <c r="D48" s="66"/>
      <c r="E48" s="66"/>
      <c r="F48" s="163">
        <f>F45+F47</f>
        <v>1155</v>
      </c>
      <c r="G48" s="163">
        <f t="shared" ref="G48:J48" si="2">G45+G47</f>
        <v>2184</v>
      </c>
      <c r="H48" s="163">
        <f t="shared" si="2"/>
        <v>2788.8</v>
      </c>
      <c r="I48" s="163">
        <f t="shared" si="2"/>
        <v>4421.76</v>
      </c>
      <c r="J48" s="163">
        <f t="shared" si="2"/>
        <v>6127.2960000000003</v>
      </c>
      <c r="L48" s="6"/>
      <c r="O48" s="148"/>
      <c r="P48" s="60"/>
      <c r="Q48" s="60"/>
      <c r="R48" s="60"/>
      <c r="S48" s="60"/>
      <c r="XFD48" s="60"/>
    </row>
    <row r="49" spans="1:21 16384:16384" x14ac:dyDescent="0.15">
      <c r="C49" s="59"/>
      <c r="D49" s="59"/>
      <c r="E49" s="59"/>
      <c r="F49" s="60"/>
      <c r="G49" s="60"/>
      <c r="H49" s="60"/>
      <c r="I49" s="60"/>
      <c r="J49" s="60"/>
      <c r="L49" s="6"/>
      <c r="O49" s="145"/>
      <c r="P49" s="75"/>
      <c r="Q49" s="75"/>
      <c r="R49" s="75"/>
      <c r="S49" s="75"/>
      <c r="T49" s="75"/>
      <c r="U49" s="75"/>
      <c r="XFD49" s="60"/>
    </row>
    <row r="50" spans="1:21 16384:16384" x14ac:dyDescent="0.15">
      <c r="B50" s="18" t="s">
        <v>100</v>
      </c>
      <c r="C50" s="59"/>
      <c r="D50" s="59"/>
      <c r="E50" s="133">
        <f>IF(N24="LLC",45%,26.5%)</f>
        <v>0.26500000000000001</v>
      </c>
      <c r="F50" s="165">
        <f>-$E$50*F48</f>
        <v>-306.07499999999999</v>
      </c>
      <c r="G50" s="165">
        <f>-$E$50*G48</f>
        <v>-578.76</v>
      </c>
      <c r="H50" s="165">
        <f>-$E$50*H48</f>
        <v>-739.03200000000004</v>
      </c>
      <c r="I50" s="165">
        <f>-$E$50*I48</f>
        <v>-1171.7664000000002</v>
      </c>
      <c r="J50" s="165">
        <f>-$E$50*J48</f>
        <v>-1623.7334400000002</v>
      </c>
      <c r="N50" s="21"/>
      <c r="O50" s="145"/>
      <c r="P50" s="75"/>
      <c r="Q50" s="75"/>
      <c r="R50" s="75"/>
      <c r="S50" s="75"/>
      <c r="T50" s="75"/>
      <c r="U50" s="75"/>
      <c r="XFD50" s="60"/>
    </row>
    <row r="51" spans="1:21 16384:16384" x14ac:dyDescent="0.15">
      <c r="B51" s="65" t="s">
        <v>25</v>
      </c>
      <c r="C51" s="66"/>
      <c r="D51" s="66"/>
      <c r="E51" s="132"/>
      <c r="F51" s="163">
        <f t="shared" ref="F51:I51" si="3">F48+F50</f>
        <v>848.92499999999995</v>
      </c>
      <c r="G51" s="163">
        <f t="shared" si="3"/>
        <v>1605.24</v>
      </c>
      <c r="H51" s="163">
        <f t="shared" si="3"/>
        <v>2049.768</v>
      </c>
      <c r="I51" s="163">
        <f t="shared" si="3"/>
        <v>3249.9935999999998</v>
      </c>
      <c r="J51" s="163">
        <f>J48+J50</f>
        <v>4503.5625600000003</v>
      </c>
      <c r="L51" s="6"/>
      <c r="O51" s="145"/>
      <c r="P51" s="75"/>
      <c r="Q51" s="75"/>
      <c r="R51" s="75"/>
      <c r="S51" s="75"/>
      <c r="T51" s="75"/>
      <c r="U51" s="75"/>
      <c r="XFD51" s="60"/>
    </row>
    <row r="52" spans="1:21 16384:16384" ht="6.5" customHeight="1" x14ac:dyDescent="0.15">
      <c r="L52" s="6"/>
      <c r="O52" s="145"/>
    </row>
    <row r="53" spans="1:21 16384:16384" x14ac:dyDescent="0.15">
      <c r="A53" s="6" t="s">
        <v>4</v>
      </c>
      <c r="B53" s="53" t="s">
        <v>19</v>
      </c>
      <c r="C53" s="53"/>
      <c r="D53" s="53"/>
      <c r="E53" s="53"/>
      <c r="F53" s="53"/>
      <c r="G53" s="53"/>
      <c r="H53" s="53"/>
      <c r="I53" s="53"/>
      <c r="J53" s="53"/>
      <c r="L53" s="6"/>
      <c r="O53" s="145"/>
    </row>
    <row r="54" spans="1:21 16384:16384" ht="6.5" customHeight="1" x14ac:dyDescent="0.15">
      <c r="L54" s="6"/>
      <c r="O54" s="145"/>
    </row>
    <row r="55" spans="1:21 16384:16384" x14ac:dyDescent="0.15">
      <c r="B55" s="18" t="s">
        <v>25</v>
      </c>
      <c r="C55" s="62"/>
      <c r="D55" s="62"/>
      <c r="E55" s="62"/>
      <c r="F55" s="77">
        <f>F51</f>
        <v>848.92499999999995</v>
      </c>
      <c r="G55" s="77">
        <f t="shared" ref="G55:J55" si="4">G51</f>
        <v>1605.24</v>
      </c>
      <c r="H55" s="77">
        <f t="shared" si="4"/>
        <v>2049.768</v>
      </c>
      <c r="I55" s="77">
        <f t="shared" si="4"/>
        <v>3249.9935999999998</v>
      </c>
      <c r="J55" s="77">
        <f t="shared" si="4"/>
        <v>4503.5625600000003</v>
      </c>
      <c r="L55" s="6"/>
      <c r="O55" s="145"/>
    </row>
    <row r="56" spans="1:21 16384:16384" x14ac:dyDescent="0.15">
      <c r="B56" s="69" t="s">
        <v>26</v>
      </c>
      <c r="C56" s="62"/>
      <c r="D56" s="62"/>
      <c r="E56" s="62"/>
      <c r="F56" s="25">
        <f>-SUM(F44:F44)</f>
        <v>105</v>
      </c>
      <c r="G56" s="25">
        <f>-SUM(G44:G44)</f>
        <v>126</v>
      </c>
      <c r="H56" s="25">
        <f>-SUM(H44:H44)</f>
        <v>151.20000000000002</v>
      </c>
      <c r="I56" s="25">
        <f>-SUM(I44:I44)</f>
        <v>181.44</v>
      </c>
      <c r="J56" s="25">
        <f>-SUM(J44:J44)</f>
        <v>217.72800000000001</v>
      </c>
      <c r="L56" s="6"/>
      <c r="O56" s="145" t="s">
        <v>155</v>
      </c>
    </row>
    <row r="57" spans="1:21 16384:16384" x14ac:dyDescent="0.15">
      <c r="B57" s="69" t="s">
        <v>18</v>
      </c>
      <c r="C57" s="62"/>
      <c r="D57" s="62"/>
      <c r="E57" s="62"/>
      <c r="F57" s="25">
        <f>$L$57*F37</f>
        <v>105</v>
      </c>
      <c r="G57" s="25">
        <f>$L$57*G37</f>
        <v>126</v>
      </c>
      <c r="H57" s="25">
        <f>$L$57*H37</f>
        <v>151.20000000000002</v>
      </c>
      <c r="I57" s="25">
        <f>$L$57*I37</f>
        <v>181.44</v>
      </c>
      <c r="J57" s="25">
        <f>$L$57*J37</f>
        <v>217.72800000000001</v>
      </c>
      <c r="L57" s="5">
        <v>0.01</v>
      </c>
      <c r="M57" s="18" t="s">
        <v>17</v>
      </c>
      <c r="O57" s="144" t="s">
        <v>92</v>
      </c>
    </row>
    <row r="58" spans="1:21 16384:16384" x14ac:dyDescent="0.15">
      <c r="B58" s="69" t="s">
        <v>27</v>
      </c>
      <c r="C58" s="62"/>
      <c r="D58" s="62"/>
      <c r="E58" s="62"/>
      <c r="F58" s="25">
        <f>-$L$58*F37</f>
        <v>-105</v>
      </c>
      <c r="G58" s="25">
        <f>-$L$58*G37</f>
        <v>-126</v>
      </c>
      <c r="H58" s="25">
        <f>-$L$58*H37</f>
        <v>-151.20000000000002</v>
      </c>
      <c r="I58" s="25">
        <f>-$L$58*I37</f>
        <v>-181.44</v>
      </c>
      <c r="J58" s="25">
        <f>-$L$58*J37</f>
        <v>-217.72800000000001</v>
      </c>
      <c r="L58" s="5">
        <v>0.01</v>
      </c>
      <c r="M58" s="18" t="s">
        <v>17</v>
      </c>
      <c r="O58" s="144" t="s">
        <v>93</v>
      </c>
    </row>
    <row r="59" spans="1:21 16384:16384" x14ac:dyDescent="0.15">
      <c r="B59" s="69" t="s">
        <v>69</v>
      </c>
      <c r="C59" s="62"/>
      <c r="D59" s="62"/>
      <c r="E59" s="62"/>
      <c r="F59" s="25">
        <f>F77+F86</f>
        <v>0</v>
      </c>
      <c r="G59" s="25">
        <f>G77+G86</f>
        <v>0</v>
      </c>
      <c r="H59" s="25">
        <f>H77+H86</f>
        <v>0</v>
      </c>
      <c r="I59" s="25">
        <f>I77+I86</f>
        <v>0</v>
      </c>
      <c r="J59" s="25">
        <f>J77+J86</f>
        <v>-7500</v>
      </c>
      <c r="O59" s="145"/>
    </row>
    <row r="60" spans="1:21 16384:16384" x14ac:dyDescent="0.15">
      <c r="B60" s="65" t="s">
        <v>53</v>
      </c>
      <c r="C60" s="70"/>
      <c r="D60" s="70"/>
      <c r="E60" s="70"/>
      <c r="F60" s="71">
        <f>SUM(F55:F59)</f>
        <v>953.92499999999995</v>
      </c>
      <c r="G60" s="71">
        <f>SUM(G55:G59)</f>
        <v>1731.24</v>
      </c>
      <c r="H60" s="71">
        <f>SUM(H55:H59)</f>
        <v>2200.9679999999998</v>
      </c>
      <c r="I60" s="71">
        <f>SUM(I55:I59)</f>
        <v>3431.4335999999998</v>
      </c>
      <c r="J60" s="71">
        <f>SUM(J55:J59)</f>
        <v>-2778.7094399999996</v>
      </c>
      <c r="O60" s="145"/>
    </row>
    <row r="61" spans="1:21 16384:16384" x14ac:dyDescent="0.15">
      <c r="C61" s="62"/>
      <c r="D61" s="62"/>
      <c r="E61" s="62"/>
      <c r="F61" s="25"/>
      <c r="G61" s="25"/>
      <c r="H61" s="25"/>
      <c r="I61" s="25"/>
      <c r="J61" s="25"/>
      <c r="O61" s="145"/>
    </row>
    <row r="62" spans="1:21 16384:16384" x14ac:dyDescent="0.15">
      <c r="B62" s="18" t="s">
        <v>70</v>
      </c>
      <c r="C62" s="62"/>
      <c r="D62" s="62"/>
      <c r="E62" s="62"/>
      <c r="F62" s="72">
        <f>-F122</f>
        <v>0</v>
      </c>
      <c r="G62" s="73"/>
      <c r="H62" s="73"/>
      <c r="I62" s="73"/>
      <c r="J62" s="73"/>
      <c r="O62" s="145"/>
    </row>
    <row r="63" spans="1:21 16384:16384" ht="10" customHeight="1" x14ac:dyDescent="0.15">
      <c r="C63" s="62"/>
      <c r="D63" s="62"/>
      <c r="E63" s="62"/>
      <c r="O63" s="145"/>
    </row>
    <row r="64" spans="1:21 16384:16384" ht="10" customHeight="1" x14ac:dyDescent="0.15">
      <c r="B64" s="18" t="s">
        <v>36</v>
      </c>
      <c r="C64" s="62"/>
      <c r="D64" s="62"/>
      <c r="E64" s="62"/>
      <c r="F64" s="74">
        <f>N22</f>
        <v>200</v>
      </c>
      <c r="G64" s="74">
        <f>F70</f>
        <v>1153.925</v>
      </c>
      <c r="H64" s="74">
        <f>G70</f>
        <v>2885.165</v>
      </c>
      <c r="I64" s="74">
        <f>H70</f>
        <v>5086.1329999999998</v>
      </c>
      <c r="J64" s="74">
        <f>I70</f>
        <v>8517.5666000000001</v>
      </c>
      <c r="O64" s="145"/>
    </row>
    <row r="65" spans="1:15" x14ac:dyDescent="0.15">
      <c r="B65" s="69" t="s">
        <v>42</v>
      </c>
      <c r="C65" s="62"/>
      <c r="D65" s="62"/>
      <c r="E65" s="62"/>
      <c r="F65" s="25">
        <f>F60+F62</f>
        <v>953.92499999999995</v>
      </c>
      <c r="G65" s="25">
        <f t="shared" ref="G65:J65" si="5">G60++G62</f>
        <v>1731.24</v>
      </c>
      <c r="H65" s="25">
        <f t="shared" si="5"/>
        <v>2200.9679999999998</v>
      </c>
      <c r="I65" s="25">
        <f t="shared" si="5"/>
        <v>3431.4335999999998</v>
      </c>
      <c r="J65" s="25">
        <f t="shared" si="5"/>
        <v>-2778.7094399999996</v>
      </c>
      <c r="O65" s="145"/>
    </row>
    <row r="66" spans="1:15" x14ac:dyDescent="0.15">
      <c r="B66" s="18" t="s">
        <v>103</v>
      </c>
      <c r="C66" s="62"/>
      <c r="D66" s="62"/>
      <c r="E66" s="62"/>
      <c r="F66" s="72">
        <f>SUM(F64:F65)</f>
        <v>1153.925</v>
      </c>
      <c r="G66" s="72">
        <f>SUM(G64:G65)</f>
        <v>2885.165</v>
      </c>
      <c r="H66" s="72">
        <f>SUM(H64:H65)</f>
        <v>5086.1329999999998</v>
      </c>
      <c r="I66" s="72">
        <f>SUM(I64:I65)</f>
        <v>8517.5666000000001</v>
      </c>
      <c r="J66" s="72">
        <f>SUM(J64:J65)</f>
        <v>5738.8571600000005</v>
      </c>
      <c r="O66" s="145"/>
    </row>
    <row r="67" spans="1:15" x14ac:dyDescent="0.15">
      <c r="B67" s="75" t="s">
        <v>44</v>
      </c>
      <c r="C67" s="62"/>
      <c r="D67" s="62"/>
      <c r="E67" s="62"/>
      <c r="F67" s="75">
        <f>IF(F66&lt;0,1,0)</f>
        <v>0</v>
      </c>
      <c r="G67" s="75">
        <f>IF(G66&lt;0,1,0)</f>
        <v>0</v>
      </c>
      <c r="H67" s="75">
        <f>IF(H66&lt;0,1,0)</f>
        <v>0</v>
      </c>
      <c r="I67" s="75">
        <f>IF(I66&lt;0,1,0)</f>
        <v>0</v>
      </c>
      <c r="J67" s="75">
        <f>IF(J66&lt;0,1,0)</f>
        <v>0</v>
      </c>
      <c r="O67" s="145"/>
    </row>
    <row r="68" spans="1:15" x14ac:dyDescent="0.15">
      <c r="B68" s="75"/>
      <c r="C68" s="62"/>
      <c r="D68" s="62"/>
      <c r="E68" s="62"/>
      <c r="F68" s="75"/>
      <c r="G68" s="75"/>
      <c r="H68" s="75"/>
      <c r="I68" s="75"/>
      <c r="J68" s="75"/>
      <c r="O68" s="145"/>
    </row>
    <row r="69" spans="1:15" x14ac:dyDescent="0.15">
      <c r="B69" s="143" t="s">
        <v>106</v>
      </c>
      <c r="C69" s="134"/>
      <c r="D69" s="134"/>
      <c r="E69" s="134"/>
      <c r="F69" s="36">
        <v>0</v>
      </c>
      <c r="G69" s="36">
        <v>0</v>
      </c>
      <c r="H69" s="41">
        <f>MAX(IF($N$23=1,1/3*H66,0),0)</f>
        <v>0</v>
      </c>
      <c r="I69" s="41">
        <f>MAX(IF($N$23=1,1/3*I66,0),0)</f>
        <v>0</v>
      </c>
      <c r="J69" s="41">
        <v>0</v>
      </c>
      <c r="O69" s="145"/>
    </row>
    <row r="70" spans="1:15" x14ac:dyDescent="0.15">
      <c r="B70" s="36" t="s">
        <v>104</v>
      </c>
      <c r="C70" s="134"/>
      <c r="D70" s="134"/>
      <c r="E70" s="134"/>
      <c r="F70" s="135">
        <f>F66-F69</f>
        <v>1153.925</v>
      </c>
      <c r="G70" s="135">
        <f>G66-G69</f>
        <v>2885.165</v>
      </c>
      <c r="H70" s="135">
        <f>H66-H69</f>
        <v>5086.1329999999998</v>
      </c>
      <c r="I70" s="135">
        <f>I66-I69</f>
        <v>8517.5666000000001</v>
      </c>
      <c r="J70" s="135">
        <f>J66-J69</f>
        <v>5738.8571600000005</v>
      </c>
      <c r="O70" s="145"/>
    </row>
    <row r="71" spans="1:15" x14ac:dyDescent="0.15">
      <c r="B71" s="75"/>
      <c r="C71" s="62"/>
      <c r="D71" s="62"/>
      <c r="E71" s="62"/>
      <c r="F71" s="75"/>
      <c r="G71" s="75"/>
      <c r="H71" s="93"/>
      <c r="I71" s="75"/>
      <c r="J71" s="75"/>
      <c r="O71" s="145"/>
    </row>
    <row r="72" spans="1:15" ht="6.5" customHeight="1" x14ac:dyDescent="0.15">
      <c r="O72" s="145"/>
    </row>
    <row r="73" spans="1:15" x14ac:dyDescent="0.15">
      <c r="A73" s="6" t="s">
        <v>4</v>
      </c>
      <c r="B73" s="53" t="s">
        <v>28</v>
      </c>
      <c r="C73" s="53"/>
      <c r="D73" s="53"/>
      <c r="E73" s="53"/>
      <c r="F73" s="53"/>
      <c r="G73" s="53"/>
      <c r="H73" s="53"/>
      <c r="I73" s="53"/>
      <c r="J73" s="53"/>
      <c r="O73" s="145"/>
    </row>
    <row r="74" spans="1:15" ht="6.5" customHeight="1" x14ac:dyDescent="0.15">
      <c r="O74" s="145"/>
    </row>
    <row r="75" spans="1:15" ht="10" customHeight="1" x14ac:dyDescent="0.15">
      <c r="B75" s="76" t="s">
        <v>29</v>
      </c>
      <c r="C75" s="62"/>
      <c r="D75" s="62"/>
      <c r="E75" s="62"/>
      <c r="O75" s="145"/>
    </row>
    <row r="76" spans="1:15" ht="10" customHeight="1" x14ac:dyDescent="0.15">
      <c r="B76" s="18" t="s">
        <v>30</v>
      </c>
      <c r="C76" s="62"/>
      <c r="D76" s="62"/>
      <c r="E76" s="62"/>
      <c r="F76" s="77">
        <f>C16</f>
        <v>6000</v>
      </c>
      <c r="G76" s="77">
        <f>F78</f>
        <v>6000</v>
      </c>
      <c r="H76" s="77">
        <f t="shared" ref="H76:J76" si="6">G78</f>
        <v>6000</v>
      </c>
      <c r="I76" s="77">
        <f t="shared" si="6"/>
        <v>6000</v>
      </c>
      <c r="J76" s="77">
        <f t="shared" si="6"/>
        <v>6000</v>
      </c>
      <c r="O76" s="145"/>
    </row>
    <row r="77" spans="1:15" ht="10" customHeight="1" x14ac:dyDescent="0.15">
      <c r="B77" s="69" t="s">
        <v>83</v>
      </c>
      <c r="C77" s="62"/>
      <c r="D77" s="62"/>
      <c r="E77" s="62"/>
      <c r="F77" s="78">
        <f>$F$76*-F82</f>
        <v>0</v>
      </c>
      <c r="G77" s="78">
        <f>$F$76*-G82</f>
        <v>0</v>
      </c>
      <c r="H77" s="78">
        <f>$F$76*-H82</f>
        <v>0</v>
      </c>
      <c r="I77" s="78">
        <f>$F$76*-I82</f>
        <v>0</v>
      </c>
      <c r="J77" s="78">
        <f>$F$76*-J82</f>
        <v>-6000</v>
      </c>
      <c r="O77" s="145"/>
    </row>
    <row r="78" spans="1:15" ht="10" customHeight="1" x14ac:dyDescent="0.15">
      <c r="B78" s="18" t="s">
        <v>31</v>
      </c>
      <c r="C78" s="62"/>
      <c r="D78" s="62"/>
      <c r="E78" s="62"/>
      <c r="F78" s="77">
        <f>SUM(F76:F77)</f>
        <v>6000</v>
      </c>
      <c r="G78" s="77">
        <f>SUM(G76:G77)</f>
        <v>6000</v>
      </c>
      <c r="H78" s="77">
        <f>SUM(H76:H77)</f>
        <v>6000</v>
      </c>
      <c r="I78" s="77">
        <f>SUM(I76:I77)</f>
        <v>6000</v>
      </c>
      <c r="J78" s="79">
        <f>SUM(J76:J77)</f>
        <v>0</v>
      </c>
      <c r="O78" s="145"/>
    </row>
    <row r="79" spans="1:15" ht="10" customHeight="1" x14ac:dyDescent="0.15">
      <c r="C79" s="62"/>
      <c r="D79" s="62"/>
      <c r="E79" s="62"/>
      <c r="O79" s="145"/>
    </row>
    <row r="80" spans="1:15" ht="10" customHeight="1" x14ac:dyDescent="0.15">
      <c r="B80" s="18" t="s">
        <v>32</v>
      </c>
      <c r="C80" s="62"/>
      <c r="D80" s="62"/>
      <c r="E80" s="62"/>
      <c r="F80" s="77">
        <f>F76*$L$80</f>
        <v>720</v>
      </c>
      <c r="G80" s="77">
        <f>G76*$L$80</f>
        <v>720</v>
      </c>
      <c r="H80" s="77">
        <f>H76*$L$80</f>
        <v>720</v>
      </c>
      <c r="I80" s="77">
        <f>I76*$L$80</f>
        <v>720</v>
      </c>
      <c r="J80" s="77">
        <f>J76*$L$80</f>
        <v>720</v>
      </c>
      <c r="L80" s="5">
        <v>0.12</v>
      </c>
      <c r="M80" s="18" t="s">
        <v>45</v>
      </c>
      <c r="O80" s="145"/>
    </row>
    <row r="81" spans="2:15" ht="10" customHeight="1" x14ac:dyDescent="0.15">
      <c r="C81" s="62"/>
      <c r="D81" s="62"/>
      <c r="E81" s="62"/>
      <c r="O81" s="145"/>
    </row>
    <row r="82" spans="2:15" ht="10" customHeight="1" x14ac:dyDescent="0.15">
      <c r="B82" s="18" t="s">
        <v>80</v>
      </c>
      <c r="C82" s="62"/>
      <c r="D82" s="62"/>
      <c r="E82" s="62"/>
      <c r="F82" s="80">
        <v>0</v>
      </c>
      <c r="G82" s="80">
        <v>0</v>
      </c>
      <c r="H82" s="80">
        <v>0</v>
      </c>
      <c r="I82" s="80">
        <v>0</v>
      </c>
      <c r="J82" s="80">
        <v>1</v>
      </c>
      <c r="L82" s="153" t="str">
        <f>IF(SUM(F82:J82)=100%,"Check","Paydown doesn't add to 100%")</f>
        <v>Check</v>
      </c>
      <c r="O82" s="144" t="s">
        <v>107</v>
      </c>
    </row>
    <row r="83" spans="2:15" ht="10" customHeight="1" x14ac:dyDescent="0.15">
      <c r="C83" s="62"/>
      <c r="D83" s="62"/>
      <c r="E83" s="62"/>
      <c r="O83" s="145"/>
    </row>
    <row r="84" spans="2:15" ht="10" customHeight="1" x14ac:dyDescent="0.15">
      <c r="B84" s="76" t="s">
        <v>0</v>
      </c>
      <c r="C84" s="62"/>
      <c r="D84" s="62"/>
      <c r="E84" s="62"/>
      <c r="F84" s="81"/>
      <c r="G84" s="81"/>
      <c r="H84" s="81"/>
      <c r="I84" s="81"/>
      <c r="J84" s="81"/>
      <c r="N84" s="18" t="s">
        <v>38</v>
      </c>
      <c r="O84" s="145"/>
    </row>
    <row r="85" spans="2:15" ht="10" customHeight="1" x14ac:dyDescent="0.15">
      <c r="B85" s="18" t="s">
        <v>34</v>
      </c>
      <c r="C85" s="62"/>
      <c r="D85" s="62"/>
      <c r="E85" s="62"/>
      <c r="F85" s="77">
        <f>C17</f>
        <v>1500</v>
      </c>
      <c r="G85" s="77">
        <f>F87</f>
        <v>1500</v>
      </c>
      <c r="H85" s="77">
        <f>G87</f>
        <v>1500</v>
      </c>
      <c r="I85" s="77">
        <f>H87</f>
        <v>1500</v>
      </c>
      <c r="J85" s="77">
        <f>I87</f>
        <v>1500</v>
      </c>
      <c r="L85" s="20"/>
      <c r="O85" s="144"/>
    </row>
    <row r="86" spans="2:15" ht="10" customHeight="1" x14ac:dyDescent="0.15">
      <c r="B86" s="69" t="s">
        <v>35</v>
      </c>
      <c r="C86" s="62"/>
      <c r="D86" s="62"/>
      <c r="E86" s="62"/>
      <c r="F86" s="78">
        <f>$F$85*-F91</f>
        <v>0</v>
      </c>
      <c r="G86" s="78">
        <f>$F$85*-G91</f>
        <v>0</v>
      </c>
      <c r="H86" s="78">
        <f>$F$85*-H91</f>
        <v>0</v>
      </c>
      <c r="I86" s="78">
        <f>$F$85*-I91</f>
        <v>0</v>
      </c>
      <c r="J86" s="78">
        <f>$F$85*-J91</f>
        <v>-1500</v>
      </c>
      <c r="L86" s="20"/>
      <c r="O86" s="145"/>
    </row>
    <row r="87" spans="2:15" ht="10" customHeight="1" x14ac:dyDescent="0.15">
      <c r="B87" s="18" t="s">
        <v>31</v>
      </c>
      <c r="C87" s="62"/>
      <c r="D87" s="62"/>
      <c r="E87" s="62"/>
      <c r="F87" s="77">
        <f>SUM(F85:F86)</f>
        <v>1500</v>
      </c>
      <c r="G87" s="77">
        <f>SUM(G85:G86)</f>
        <v>1500</v>
      </c>
      <c r="H87" s="77">
        <f>SUM(H85:H86)</f>
        <v>1500</v>
      </c>
      <c r="I87" s="77">
        <f>SUM(I85:I86)</f>
        <v>1500</v>
      </c>
      <c r="J87" s="79">
        <f>SUM(J85:J86)</f>
        <v>0</v>
      </c>
      <c r="O87" s="145"/>
    </row>
    <row r="88" spans="2:15" ht="10" customHeight="1" x14ac:dyDescent="0.15">
      <c r="C88" s="62"/>
      <c r="D88" s="62"/>
      <c r="E88" s="62"/>
      <c r="O88" s="145"/>
    </row>
    <row r="89" spans="2:15" ht="10" customHeight="1" x14ac:dyDescent="0.15">
      <c r="B89" s="18" t="s">
        <v>32</v>
      </c>
      <c r="C89" s="62"/>
      <c r="D89" s="62"/>
      <c r="E89" s="62"/>
      <c r="F89" s="77">
        <f>$L$89*F85</f>
        <v>120</v>
      </c>
      <c r="G89" s="77">
        <f>$L$89*G85</f>
        <v>120</v>
      </c>
      <c r="H89" s="77">
        <f>$L$89*H85</f>
        <v>120</v>
      </c>
      <c r="I89" s="77">
        <f>$L$89*I85</f>
        <v>120</v>
      </c>
      <c r="J89" s="77">
        <f>$L$89*J85</f>
        <v>120</v>
      </c>
      <c r="L89" s="5">
        <v>0.08</v>
      </c>
      <c r="M89" s="18" t="s">
        <v>45</v>
      </c>
      <c r="O89" s="145"/>
    </row>
    <row r="90" spans="2:15" ht="10" customHeight="1" x14ac:dyDescent="0.15">
      <c r="C90" s="62"/>
      <c r="D90" s="62"/>
      <c r="E90" s="62"/>
      <c r="F90" s="77"/>
      <c r="G90" s="77"/>
      <c r="H90" s="77"/>
      <c r="I90" s="77"/>
      <c r="J90" s="77"/>
      <c r="L90" s="18"/>
      <c r="O90" s="145"/>
    </row>
    <row r="91" spans="2:15" ht="10" customHeight="1" x14ac:dyDescent="0.15">
      <c r="B91" s="18" t="s">
        <v>80</v>
      </c>
      <c r="C91" s="62"/>
      <c r="D91" s="62"/>
      <c r="E91" s="62"/>
      <c r="F91" s="80">
        <v>0</v>
      </c>
      <c r="G91" s="80">
        <v>0</v>
      </c>
      <c r="H91" s="80">
        <v>0</v>
      </c>
      <c r="I91" s="80">
        <v>0</v>
      </c>
      <c r="J91" s="80">
        <v>1</v>
      </c>
      <c r="L91" s="153" t="str">
        <f>IF(SUM(F91:J91)=100%,"Check","Paydown doesn't add to 100%")</f>
        <v>Check</v>
      </c>
      <c r="O91" s="144" t="s">
        <v>116</v>
      </c>
    </row>
    <row r="92" spans="2:15" ht="10" customHeight="1" x14ac:dyDescent="0.15">
      <c r="C92" s="62"/>
      <c r="D92" s="62"/>
      <c r="E92" s="62"/>
      <c r="O92" s="145"/>
    </row>
    <row r="93" spans="2:15" ht="10" customHeight="1" x14ac:dyDescent="0.15">
      <c r="B93" s="76" t="s">
        <v>142</v>
      </c>
      <c r="C93" s="62"/>
      <c r="D93" s="62"/>
      <c r="E93" s="62"/>
      <c r="O93" s="145"/>
    </row>
    <row r="94" spans="2:15" ht="10" customHeight="1" x14ac:dyDescent="0.15">
      <c r="B94" s="18" t="s">
        <v>143</v>
      </c>
      <c r="C94" s="62"/>
      <c r="D94" s="62"/>
      <c r="E94" s="62"/>
      <c r="F94" s="172">
        <f>F78/F43</f>
        <v>2.8571428571428572</v>
      </c>
      <c r="G94" s="172">
        <f>G78/G43</f>
        <v>1.9047619047619047</v>
      </c>
      <c r="H94" s="172">
        <f>H78/H43</f>
        <v>1.5873015873015872</v>
      </c>
      <c r="I94" s="172">
        <f>I78/I43</f>
        <v>1.1022927689594357</v>
      </c>
      <c r="J94" s="172">
        <f>J78/J43</f>
        <v>0</v>
      </c>
      <c r="O94" s="147" t="s">
        <v>150</v>
      </c>
    </row>
    <row r="95" spans="2:15" ht="10" customHeight="1" x14ac:dyDescent="0.15">
      <c r="B95" s="18" t="s">
        <v>145</v>
      </c>
      <c r="C95" s="62"/>
      <c r="D95" s="62"/>
      <c r="E95" s="62"/>
      <c r="F95" s="172">
        <f>(F78+F87)/F43</f>
        <v>3.5714285714285716</v>
      </c>
      <c r="G95" s="172">
        <f>(G78+G87)/G43</f>
        <v>2.3809523809523809</v>
      </c>
      <c r="H95" s="172">
        <f>(H78+H87)/H43</f>
        <v>1.9841269841269842</v>
      </c>
      <c r="I95" s="172">
        <f>(I78+I87)/I43</f>
        <v>1.3778659611992945</v>
      </c>
      <c r="J95" s="172">
        <f>(J78+J87)/J43</f>
        <v>0</v>
      </c>
      <c r="O95" s="145"/>
    </row>
    <row r="96" spans="2:15" ht="10" customHeight="1" x14ac:dyDescent="0.15">
      <c r="B96" s="18" t="s">
        <v>144</v>
      </c>
      <c r="C96" s="62"/>
      <c r="D96" s="62"/>
      <c r="E96" s="62"/>
      <c r="F96" s="12">
        <f>F40/(-F77+F80+-F86+F89-F58-F50+F69-F62)</f>
        <v>1.678556441460344</v>
      </c>
      <c r="G96" s="12">
        <f>G40/(-G77+G80+-G86+G89-G58-G50+G69-G62)</f>
        <v>2.0391517128874388</v>
      </c>
      <c r="H96" s="12">
        <f>H40/(-H77+H80+-H86+H89-H58-H50+H69-H62)</f>
        <v>2.1846781240897175</v>
      </c>
      <c r="I96" s="12">
        <f>I40/(-I77+I80+-I86+I89-I58-I50+I69-I62)</f>
        <v>2.4818457578821582</v>
      </c>
      <c r="J96" s="12">
        <f>J40/(-J77+J80+-J86+J89-J58-J50+J69-J62)</f>
        <v>0.70569672559698871</v>
      </c>
      <c r="K96" s="2"/>
      <c r="M96" s="173"/>
      <c r="O96" s="145"/>
    </row>
    <row r="97" spans="1:15" ht="6.5" customHeight="1" x14ac:dyDescent="0.15">
      <c r="O97" s="145"/>
    </row>
    <row r="98" spans="1:15" x14ac:dyDescent="0.15">
      <c r="B98" s="182" t="s">
        <v>68</v>
      </c>
      <c r="C98" s="182"/>
      <c r="D98" s="182"/>
      <c r="E98" s="182"/>
      <c r="F98" s="182"/>
      <c r="G98" s="182"/>
      <c r="H98" s="182"/>
      <c r="I98" s="182"/>
      <c r="J98" s="182"/>
      <c r="O98" s="145"/>
    </row>
    <row r="99" spans="1:15" ht="6.5" customHeight="1" x14ac:dyDescent="0.15">
      <c r="O99" s="145"/>
    </row>
    <row r="100" spans="1:15" x14ac:dyDescent="0.15">
      <c r="A100" s="6" t="s">
        <v>4</v>
      </c>
      <c r="B100" s="53" t="s">
        <v>82</v>
      </c>
      <c r="C100" s="53"/>
      <c r="D100" s="53"/>
      <c r="E100" s="53"/>
      <c r="F100" s="53"/>
      <c r="G100" s="53"/>
      <c r="H100" s="53"/>
      <c r="I100" s="53"/>
      <c r="J100" s="53"/>
      <c r="O100" s="147"/>
    </row>
    <row r="101" spans="1:15" ht="6.5" customHeight="1" x14ac:dyDescent="0.15">
      <c r="O101" s="145"/>
    </row>
    <row r="102" spans="1:15" x14ac:dyDescent="0.15">
      <c r="B102" s="18" t="s">
        <v>126</v>
      </c>
      <c r="D102" s="82">
        <v>0.25</v>
      </c>
      <c r="F102" s="18" t="s">
        <v>74</v>
      </c>
      <c r="H102" s="10">
        <v>1</v>
      </c>
      <c r="O102" s="147" t="s">
        <v>75</v>
      </c>
    </row>
    <row r="103" spans="1:15" x14ac:dyDescent="0.15">
      <c r="B103" s="18" t="s">
        <v>54</v>
      </c>
      <c r="D103" s="83">
        <v>0.05</v>
      </c>
      <c r="O103" s="147" t="s">
        <v>121</v>
      </c>
    </row>
    <row r="104" spans="1:15" x14ac:dyDescent="0.15">
      <c r="E104" s="6"/>
      <c r="F104" s="18" t="s">
        <v>63</v>
      </c>
      <c r="H104" s="84">
        <v>500</v>
      </c>
      <c r="L104" s="24"/>
      <c r="O104" s="145"/>
    </row>
    <row r="105" spans="1:15" x14ac:dyDescent="0.15">
      <c r="B105" s="18" t="s">
        <v>123</v>
      </c>
      <c r="D105" s="85">
        <f>$D$102/3</f>
        <v>8.3333333333333329E-2</v>
      </c>
      <c r="E105" s="86"/>
      <c r="F105" s="18" t="s">
        <v>64</v>
      </c>
      <c r="H105" s="105">
        <v>1.5</v>
      </c>
      <c r="L105" s="20"/>
      <c r="O105" s="145"/>
    </row>
    <row r="106" spans="1:15" x14ac:dyDescent="0.15">
      <c r="B106" s="18" t="s">
        <v>124</v>
      </c>
      <c r="D106" s="85">
        <f>$D$102/3</f>
        <v>8.3333333333333329E-2</v>
      </c>
      <c r="E106" s="86"/>
      <c r="J106" s="9"/>
      <c r="O106" s="145"/>
    </row>
    <row r="107" spans="1:15" x14ac:dyDescent="0.15">
      <c r="B107" s="18" t="s">
        <v>125</v>
      </c>
      <c r="D107" s="85">
        <f>$D$102/3</f>
        <v>8.3333333333333329E-2</v>
      </c>
      <c r="F107" s="18" t="s">
        <v>101</v>
      </c>
      <c r="H107" s="83">
        <v>0.3</v>
      </c>
      <c r="L107" s="9"/>
      <c r="O107" s="145"/>
    </row>
    <row r="108" spans="1:15" x14ac:dyDescent="0.15">
      <c r="B108" s="65" t="s">
        <v>55</v>
      </c>
      <c r="C108" s="65"/>
      <c r="D108" s="87">
        <f>SUM(D105:D107)</f>
        <v>0.25</v>
      </c>
      <c r="E108" s="86"/>
      <c r="L108" s="9"/>
      <c r="O108" s="145"/>
    </row>
    <row r="109" spans="1:15" x14ac:dyDescent="0.15">
      <c r="O109" s="145"/>
    </row>
    <row r="110" spans="1:15" x14ac:dyDescent="0.15">
      <c r="B110" s="18" t="s">
        <v>56</v>
      </c>
      <c r="D110" s="83">
        <v>0.2</v>
      </c>
      <c r="H110" s="179" t="s">
        <v>149</v>
      </c>
      <c r="I110" s="179" t="s">
        <v>55</v>
      </c>
      <c r="J110" s="179" t="s">
        <v>148</v>
      </c>
      <c r="O110" s="145"/>
    </row>
    <row r="111" spans="1:15" x14ac:dyDescent="0.15">
      <c r="B111" s="18" t="s">
        <v>57</v>
      </c>
      <c r="D111" s="83">
        <v>0.35</v>
      </c>
      <c r="F111" s="18" t="s">
        <v>146</v>
      </c>
      <c r="H111" s="175">
        <f>I111</f>
        <v>10250000</v>
      </c>
      <c r="I111" s="175">
        <f>F117*1000</f>
        <v>10250000</v>
      </c>
      <c r="J111" s="176">
        <f>1-D102</f>
        <v>0.75</v>
      </c>
      <c r="O111" s="145"/>
    </row>
    <row r="112" spans="1:15" x14ac:dyDescent="0.15">
      <c r="F112" s="18" t="s">
        <v>147</v>
      </c>
      <c r="H112" s="175">
        <f ca="1">I112*D114/D108</f>
        <v>3416666.666666666</v>
      </c>
      <c r="I112" s="175">
        <f>I113-I111</f>
        <v>3416666.666666666</v>
      </c>
      <c r="J112" s="176">
        <f>I112/I113</f>
        <v>0.24999999999999997</v>
      </c>
      <c r="O112" s="145"/>
    </row>
    <row r="113" spans="1:15" x14ac:dyDescent="0.15">
      <c r="B113" s="18" t="s">
        <v>122</v>
      </c>
      <c r="D113" s="88">
        <f ca="1">IF(J146&gt;D111,D107,IF(J146&lt;D110,0,(J146-D110)/(D111-D110))*D107)</f>
        <v>8.3333333333333329E-2</v>
      </c>
      <c r="F113" s="65" t="s">
        <v>55</v>
      </c>
      <c r="G113" s="65"/>
      <c r="H113" s="177">
        <f ca="1">SUM(H111:H112)</f>
        <v>13666666.666666666</v>
      </c>
      <c r="I113" s="177">
        <f>I111/J111</f>
        <v>13666666.666666666</v>
      </c>
      <c r="J113" s="178">
        <f>I113/I113</f>
        <v>1</v>
      </c>
      <c r="L113" s="90"/>
      <c r="O113" s="145"/>
    </row>
    <row r="114" spans="1:15" x14ac:dyDescent="0.15">
      <c r="B114" s="18" t="s">
        <v>136</v>
      </c>
      <c r="D114" s="88">
        <f ca="1">D113+D106+D105</f>
        <v>0.25</v>
      </c>
      <c r="F114" s="89"/>
      <c r="L114" s="90"/>
      <c r="O114" s="145"/>
    </row>
    <row r="115" spans="1:15" x14ac:dyDescent="0.15">
      <c r="O115" s="145"/>
    </row>
    <row r="116" spans="1:15" x14ac:dyDescent="0.15">
      <c r="B116" s="76" t="s">
        <v>50</v>
      </c>
      <c r="O116" s="145"/>
    </row>
    <row r="117" spans="1:15" x14ac:dyDescent="0.15">
      <c r="B117" s="18" t="s">
        <v>30</v>
      </c>
      <c r="F117" s="72">
        <f>C23+(H105*H104)</f>
        <v>10250</v>
      </c>
      <c r="G117" s="72">
        <f>F120</f>
        <v>11070</v>
      </c>
      <c r="H117" s="72">
        <f t="shared" ref="H117:J117" si="7">G120</f>
        <v>11955.6</v>
      </c>
      <c r="I117" s="72">
        <f t="shared" si="7"/>
        <v>12912.048000000001</v>
      </c>
      <c r="J117" s="72">
        <f t="shared" si="7"/>
        <v>13945.011840000001</v>
      </c>
      <c r="O117" s="145"/>
    </row>
    <row r="118" spans="1:15" ht="10" customHeight="1" x14ac:dyDescent="0.15">
      <c r="B118" s="18" t="s">
        <v>81</v>
      </c>
      <c r="D118" s="83">
        <v>0.08</v>
      </c>
      <c r="F118" s="78">
        <f>F117*$D$118</f>
        <v>820</v>
      </c>
      <c r="G118" s="25">
        <f>G117*$D$118</f>
        <v>885.6</v>
      </c>
      <c r="H118" s="25">
        <f>H117*$D$118</f>
        <v>956.44800000000009</v>
      </c>
      <c r="I118" s="25">
        <f>I117*$D$118</f>
        <v>1032.9638400000001</v>
      </c>
      <c r="J118" s="25">
        <f>J117*$D$118</f>
        <v>1115.6009472000001</v>
      </c>
      <c r="M118" s="142"/>
      <c r="O118" s="145"/>
    </row>
    <row r="119" spans="1:15" ht="10" customHeight="1" x14ac:dyDescent="0.15">
      <c r="B119" s="136" t="s">
        <v>105</v>
      </c>
      <c r="D119" s="137"/>
      <c r="F119" s="78">
        <f>-F69</f>
        <v>0</v>
      </c>
      <c r="G119" s="78">
        <f>-G69</f>
        <v>0</v>
      </c>
      <c r="H119" s="78">
        <f>-H69</f>
        <v>0</v>
      </c>
      <c r="I119" s="78">
        <f>-I69</f>
        <v>0</v>
      </c>
      <c r="J119" s="78">
        <f>-J69</f>
        <v>0</v>
      </c>
      <c r="M119" s="141"/>
      <c r="N119" s="25"/>
      <c r="O119" s="145"/>
    </row>
    <row r="120" spans="1:15" x14ac:dyDescent="0.15">
      <c r="B120" s="18" t="s">
        <v>31</v>
      </c>
      <c r="F120" s="72">
        <f>SUM(F117:F119)</f>
        <v>11070</v>
      </c>
      <c r="G120" s="72">
        <f>SUM(G117:G119)</f>
        <v>11955.6</v>
      </c>
      <c r="H120" s="72">
        <f>SUM(H117:H119)</f>
        <v>12912.048000000001</v>
      </c>
      <c r="I120" s="72">
        <f>SUM(I117:I119)</f>
        <v>13945.011840000001</v>
      </c>
      <c r="J120" s="72">
        <f>SUM(J117:J119)</f>
        <v>15060.612787200002</v>
      </c>
      <c r="N120" s="25"/>
      <c r="O120" s="145"/>
    </row>
    <row r="121" spans="1:15" x14ac:dyDescent="0.15">
      <c r="O121" s="145"/>
    </row>
    <row r="122" spans="1:15" ht="10" customHeight="1" x14ac:dyDescent="0.15">
      <c r="B122" s="18" t="s">
        <v>51</v>
      </c>
      <c r="F122" s="77">
        <f>IF(N26=1,IF(F37&gt;N28,N27,0),0)</f>
        <v>0</v>
      </c>
      <c r="G122" s="73"/>
      <c r="H122" s="73"/>
      <c r="I122" s="73"/>
      <c r="J122" s="73"/>
      <c r="O122" s="145"/>
    </row>
    <row r="123" spans="1:15" ht="6.5" customHeight="1" x14ac:dyDescent="0.15">
      <c r="O123" s="145"/>
    </row>
    <row r="124" spans="1:15" x14ac:dyDescent="0.15">
      <c r="A124" s="6" t="s">
        <v>4</v>
      </c>
      <c r="B124" s="53" t="s">
        <v>43</v>
      </c>
      <c r="C124" s="53"/>
      <c r="D124" s="53"/>
      <c r="E124" s="53"/>
      <c r="F124" s="53"/>
      <c r="G124" s="53"/>
      <c r="H124" s="53"/>
      <c r="I124" s="53"/>
      <c r="J124" s="53"/>
      <c r="O124" s="145"/>
    </row>
    <row r="125" spans="1:15" ht="6.5" customHeight="1" x14ac:dyDescent="0.15">
      <c r="O125" s="145"/>
    </row>
    <row r="126" spans="1:15" x14ac:dyDescent="0.15">
      <c r="B126" s="18" t="str">
        <f>CONCATENATE("LTM "&amp;N129&amp;"")</f>
        <v>LTM EBITDA</v>
      </c>
      <c r="J126" s="72">
        <f>IF(N128="EBITDA",J40,J34)</f>
        <v>7185.0240000000003</v>
      </c>
      <c r="L126" s="30" t="s">
        <v>78</v>
      </c>
      <c r="M126" s="31"/>
      <c r="N126" s="32"/>
      <c r="O126" s="145"/>
    </row>
    <row r="127" spans="1:15" x14ac:dyDescent="0.15">
      <c r="B127" s="9" t="s">
        <v>58</v>
      </c>
      <c r="J127" s="12">
        <f>N131</f>
        <v>8</v>
      </c>
      <c r="L127" s="33" t="s">
        <v>46</v>
      </c>
      <c r="N127" s="91">
        <f>N15</f>
        <v>16000</v>
      </c>
      <c r="O127" s="145"/>
    </row>
    <row r="128" spans="1:15" x14ac:dyDescent="0.15">
      <c r="B128" s="65" t="s">
        <v>84</v>
      </c>
      <c r="C128" s="65"/>
      <c r="D128" s="65"/>
      <c r="E128" s="65"/>
      <c r="F128" s="65"/>
      <c r="G128" s="65"/>
      <c r="H128" s="65"/>
      <c r="I128" s="65"/>
      <c r="J128" s="71">
        <f>J126*J127</f>
        <v>57480.192000000003</v>
      </c>
      <c r="L128" s="3" t="s">
        <v>47</v>
      </c>
      <c r="N128" s="22" t="str">
        <f>N16</f>
        <v>EBITDA</v>
      </c>
      <c r="O128" s="145"/>
    </row>
    <row r="129" spans="2:16" x14ac:dyDescent="0.15">
      <c r="B129" s="69" t="s">
        <v>59</v>
      </c>
      <c r="J129" s="25">
        <f>J70</f>
        <v>5738.8571600000005</v>
      </c>
      <c r="L129" s="33" t="s">
        <v>48</v>
      </c>
      <c r="N129" s="22" t="str">
        <f>N128</f>
        <v>EBITDA</v>
      </c>
      <c r="O129" s="145"/>
    </row>
    <row r="130" spans="2:16" x14ac:dyDescent="0.15">
      <c r="B130" s="69" t="s">
        <v>60</v>
      </c>
      <c r="J130" s="92">
        <f>-J78-J87</f>
        <v>0</v>
      </c>
      <c r="L130" s="33" t="s">
        <v>49</v>
      </c>
      <c r="N130" s="23">
        <f>IF(N128="EBITDA",N127/E40,N127/E34)</f>
        <v>8</v>
      </c>
      <c r="O130" s="145"/>
    </row>
    <row r="131" spans="2:16" x14ac:dyDescent="0.15">
      <c r="B131" s="65" t="s">
        <v>61</v>
      </c>
      <c r="C131" s="65"/>
      <c r="D131" s="65"/>
      <c r="E131" s="65"/>
      <c r="F131" s="65"/>
      <c r="G131" s="65"/>
      <c r="H131" s="65"/>
      <c r="I131" s="65"/>
      <c r="J131" s="71">
        <f>SUM(J128:J130)</f>
        <v>63219.049160000002</v>
      </c>
      <c r="L131" s="33" t="s">
        <v>2</v>
      </c>
      <c r="N131" s="23">
        <v>8</v>
      </c>
      <c r="O131" s="144" t="s">
        <v>110</v>
      </c>
    </row>
    <row r="132" spans="2:16" x14ac:dyDescent="0.15">
      <c r="B132" s="9" t="s">
        <v>62</v>
      </c>
      <c r="J132" s="25">
        <f>MAX(MIN(J120-F117,J131),0)</f>
        <v>4810.6127872000015</v>
      </c>
      <c r="L132" s="19" t="s">
        <v>133</v>
      </c>
      <c r="M132" s="52"/>
      <c r="N132" s="10">
        <v>1</v>
      </c>
      <c r="O132" s="145"/>
      <c r="P132" s="21"/>
    </row>
    <row r="133" spans="2:16" x14ac:dyDescent="0.15">
      <c r="B133" s="9" t="s">
        <v>65</v>
      </c>
      <c r="J133" s="92">
        <f>MIN(MIN(F117,J131-J132),J120)</f>
        <v>10250</v>
      </c>
      <c r="P133" s="21"/>
    </row>
    <row r="134" spans="2:16" x14ac:dyDescent="0.15">
      <c r="B134" s="65" t="s">
        <v>72</v>
      </c>
      <c r="C134" s="65"/>
      <c r="D134" s="65"/>
      <c r="E134" s="65"/>
      <c r="F134" s="65"/>
      <c r="G134" s="65"/>
      <c r="H134" s="65"/>
      <c r="I134" s="65"/>
      <c r="J134" s="71">
        <f>J131-J132-J133</f>
        <v>48158.436372800003</v>
      </c>
      <c r="L134" s="25"/>
      <c r="P134" s="21"/>
    </row>
    <row r="135" spans="2:16" x14ac:dyDescent="0.15">
      <c r="B135" s="69" t="s">
        <v>132</v>
      </c>
      <c r="J135" s="25">
        <f ca="1">IF($H$102=0,0,IF($N$132=0,0,MIN((SUM(F118:J118)*(H112/H111)*(D113/D107)),$J$134)))</f>
        <v>1603.5375957333329</v>
      </c>
      <c r="L135" s="161"/>
      <c r="M135" s="158"/>
      <c r="P135" s="21"/>
    </row>
    <row r="136" spans="2:16" x14ac:dyDescent="0.15">
      <c r="B136" s="65" t="s">
        <v>73</v>
      </c>
      <c r="C136" s="65"/>
      <c r="D136" s="65"/>
      <c r="E136" s="65"/>
      <c r="F136" s="65"/>
      <c r="G136" s="65"/>
      <c r="H136" s="65"/>
      <c r="I136" s="65"/>
      <c r="J136" s="71">
        <f ca="1">J134-J135</f>
        <v>46554.898777066672</v>
      </c>
      <c r="L136" s="159"/>
      <c r="M136" s="160"/>
      <c r="P136" s="21"/>
    </row>
    <row r="137" spans="2:16" x14ac:dyDescent="0.15">
      <c r="B137" s="18" t="s">
        <v>66</v>
      </c>
      <c r="I137" s="88">
        <f>D103</f>
        <v>0.05</v>
      </c>
      <c r="J137" s="25">
        <f ca="1">I137*J136</f>
        <v>2327.7449388533337</v>
      </c>
      <c r="L137" s="25"/>
      <c r="M137" s="159"/>
    </row>
    <row r="138" spans="2:16" x14ac:dyDescent="0.15">
      <c r="B138" s="18" t="s">
        <v>67</v>
      </c>
      <c r="I138" s="88">
        <f ca="1">1-I139-I137</f>
        <v>0.71249999999999991</v>
      </c>
      <c r="J138" s="25">
        <f ca="1">I138*J136</f>
        <v>33170.365378659997</v>
      </c>
      <c r="L138" s="88"/>
    </row>
    <row r="139" spans="2:16" x14ac:dyDescent="0.15">
      <c r="B139" s="18" t="s">
        <v>117</v>
      </c>
      <c r="I139" s="88">
        <f ca="1">IF(H102=0,0,(D105+D106+D113)*(1-$I$137))</f>
        <v>0.23749999999999999</v>
      </c>
      <c r="J139" s="25">
        <f ca="1">I139*J136</f>
        <v>11056.788459553334</v>
      </c>
      <c r="L139" s="25"/>
    </row>
    <row r="140" spans="2:16" x14ac:dyDescent="0.15">
      <c r="B140" s="75" t="s">
        <v>44</v>
      </c>
      <c r="C140" s="75"/>
      <c r="D140" s="75"/>
      <c r="E140" s="75"/>
      <c r="F140" s="75"/>
      <c r="G140" s="75"/>
      <c r="H140" s="75"/>
      <c r="I140" s="93">
        <f ca="1">SUM(I137:I139)-100%</f>
        <v>0</v>
      </c>
      <c r="J140" s="93">
        <f ca="1">SUM(J137:J139)-J136</f>
        <v>0</v>
      </c>
      <c r="M140" s="72"/>
    </row>
    <row r="141" spans="2:16" x14ac:dyDescent="0.15">
      <c r="B141" s="75"/>
      <c r="C141" s="75"/>
      <c r="D141" s="75"/>
      <c r="E141" s="75"/>
      <c r="F141" s="75"/>
      <c r="G141" s="75"/>
      <c r="H141" s="75"/>
      <c r="I141" s="93"/>
      <c r="J141" s="93"/>
    </row>
    <row r="142" spans="2:16" x14ac:dyDescent="0.15">
      <c r="B142" s="138" t="s">
        <v>109</v>
      </c>
      <c r="C142" s="139"/>
      <c r="D142" s="139"/>
      <c r="E142" s="139"/>
      <c r="F142" s="139"/>
      <c r="G142" s="139"/>
      <c r="H142" s="139"/>
      <c r="I142" s="140"/>
      <c r="J142" s="128">
        <f>IF(N24="LLC",H107*SUM(F51:J51),0)</f>
        <v>0</v>
      </c>
    </row>
    <row r="143" spans="2:16" x14ac:dyDescent="0.15">
      <c r="B143" s="76"/>
    </row>
    <row r="144" spans="2:16" x14ac:dyDescent="0.15">
      <c r="B144" s="94" t="s">
        <v>111</v>
      </c>
      <c r="C144" s="95"/>
      <c r="D144" s="70"/>
      <c r="E144" s="106">
        <f>-C23</f>
        <v>-9500</v>
      </c>
      <c r="F144" s="106">
        <f>F69</f>
        <v>0</v>
      </c>
      <c r="G144" s="106">
        <f>G69</f>
        <v>0</v>
      </c>
      <c r="H144" s="106">
        <f>H69</f>
        <v>0</v>
      </c>
      <c r="I144" s="106">
        <f>I69</f>
        <v>0</v>
      </c>
      <c r="J144" s="107">
        <f ca="1">J138+J132+J133+J142</f>
        <v>48230.978165859997</v>
      </c>
      <c r="M144" s="21"/>
      <c r="P144" s="21"/>
    </row>
    <row r="145" spans="1:13" x14ac:dyDescent="0.15">
      <c r="B145" s="96"/>
      <c r="C145" s="62"/>
      <c r="D145" s="62"/>
      <c r="E145" s="62"/>
      <c r="F145" s="62"/>
      <c r="G145" s="62"/>
      <c r="H145" s="62"/>
      <c r="I145" s="62"/>
      <c r="J145" s="97"/>
      <c r="M145" s="21"/>
    </row>
    <row r="146" spans="1:13" x14ac:dyDescent="0.15">
      <c r="B146" s="96"/>
      <c r="C146" s="62"/>
      <c r="D146" s="62"/>
      <c r="E146" s="62"/>
      <c r="F146" s="62"/>
      <c r="G146" s="62"/>
      <c r="H146" s="98" t="s">
        <v>112</v>
      </c>
      <c r="I146" s="62"/>
      <c r="J146" s="99">
        <f ca="1">IRR(E144:J144)</f>
        <v>0.38395029607308762</v>
      </c>
    </row>
    <row r="147" spans="1:13" x14ac:dyDescent="0.15">
      <c r="B147" s="96"/>
      <c r="C147" s="62"/>
      <c r="D147" s="62"/>
      <c r="E147" s="62"/>
      <c r="F147" s="62"/>
      <c r="G147" s="62"/>
      <c r="H147" s="98" t="s">
        <v>113</v>
      </c>
      <c r="I147" s="62"/>
      <c r="J147" s="100">
        <f ca="1">J144/-E144</f>
        <v>5.0769450700905256</v>
      </c>
    </row>
    <row r="148" spans="1:13" x14ac:dyDescent="0.15">
      <c r="B148" s="101"/>
      <c r="C148" s="102"/>
      <c r="D148" s="102"/>
      <c r="E148" s="102"/>
      <c r="F148" s="102"/>
      <c r="G148" s="102"/>
      <c r="H148" s="26" t="s">
        <v>118</v>
      </c>
      <c r="I148" s="102"/>
      <c r="J148" s="103">
        <f ca="1">J139+J135</f>
        <v>12660.326055286667</v>
      </c>
    </row>
    <row r="149" spans="1:13" x14ac:dyDescent="0.15">
      <c r="A149" s="6" t="s">
        <v>4</v>
      </c>
    </row>
  </sheetData>
  <mergeCells count="2">
    <mergeCell ref="B28:J28"/>
    <mergeCell ref="B98:J98"/>
  </mergeCells>
  <conditionalFormatting sqref="B34:L35">
    <cfRule type="expression" dxfId="1" priority="3">
      <formula>$N$16="EBITDA"</formula>
    </cfRule>
  </conditionalFormatting>
  <conditionalFormatting sqref="F38:J38">
    <cfRule type="expression" dxfId="0" priority="1">
      <formula>$N$16="ARR"</formula>
    </cfRule>
  </conditionalFormatting>
  <dataValidations count="3">
    <dataValidation type="list" allowBlank="1" showInputMessage="1" showErrorMessage="1" sqref="N24" xr:uid="{D154E854-2C47-474A-895E-3E83CF3F7204}">
      <formula1>"LLC, C-corp"</formula1>
    </dataValidation>
    <dataValidation type="list" allowBlank="1" showInputMessage="1" showErrorMessage="1" sqref="N16" xr:uid="{ED35C844-1B98-4829-8349-BC173806959B}">
      <formula1>"EBITDA, ARR"</formula1>
    </dataValidation>
    <dataValidation type="list" allowBlank="1" showInputMessage="1" showErrorMessage="1" sqref="N26 H102 N132 N23" xr:uid="{254C2A9E-565E-4DEE-B701-517389838F16}">
      <formula1>"0,1"</formula1>
    </dataValidation>
  </dataValidations>
  <hyperlinks>
    <hyperlink ref="O18" r:id="rId1" display="https://www.gsb.stanford.edu/faculty-research/case-studies/2024-search-fund-study" xr:uid="{B1C223BA-65EA-4597-863A-50FD1FFAE90C}"/>
    <hyperlink ref="O41" r:id="rId2" display="Research" xr:uid="{9463AEFB-A5AA-4756-B27D-DC9A2C2EB606}"/>
    <hyperlink ref="O25" r:id="rId3" xr:uid="{02E94BE7-BC3F-4805-A36E-24D352E72E49}"/>
  </hyperlinks>
  <pageMargins left="0.7" right="0.7" top="0.75" bottom="0.75" header="0.3" footer="0.3"/>
  <pageSetup orientation="portrait" verticalDpi="0"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Model Template</vt:lpstr>
      <vt:lpstr>Growth</vt:lpstr>
      <vt:lpstr>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Kaplan</dc:creator>
  <cp:lastModifiedBy>K Sch</cp:lastModifiedBy>
  <dcterms:created xsi:type="dcterms:W3CDTF">2025-09-10T17:47:06Z</dcterms:created>
  <dcterms:modified xsi:type="dcterms:W3CDTF">2026-03-19T15:50:40Z</dcterms:modified>
</cp:coreProperties>
</file>