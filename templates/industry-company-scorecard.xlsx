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kaycschneider/My Drive/MANAGER DOCUMENTS/G&amp;B MASTER TEMPLATES/"/>
    </mc:Choice>
  </mc:AlternateContent>
  <xr:revisionPtr revIDLastSave="0" documentId="13_ncr:1_{5E6BFD5C-A496-7A44-865F-CDEA1E98E646}" xr6:coauthVersionLast="47" xr6:coauthVersionMax="47" xr10:uidLastSave="{00000000-0000-0000-0000-000000000000}"/>
  <bookViews>
    <workbookView xWindow="3320" yWindow="780" windowWidth="27640" windowHeight="15980" xr2:uid="{00000000-000D-0000-FFFF-FFFF00000000}"/>
  </bookViews>
  <sheets>
    <sheet name="INITIAL SCREEN" sheetId="2" r:id="rId1"/>
    <sheet name="SCORECARDS" sheetId="1" r:id="rId2"/>
  </sheets>
  <definedNames>
    <definedName name="_bdm.8018492968a5442495f20d90ab0edcf5.edm" localSheetId="1" hidden="1">SCORECARDS!$1:$1048576</definedName>
    <definedName name="_bdm.8018492968a5442495f20d90ab0edcf5.edm" hidden="1">#REF!</definedName>
    <definedName name="_bdm.f13a6b620fec4e82afc4fa1e28cf992f.edm" localSheetId="1" hidden="1">SCORECARDS!#REF!</definedName>
    <definedName name="_bdm.FastTrackBookmark.10_31_2020_1_08_13_PM.edm" localSheetId="1" hidden="1">SCORECARDS!$C$8</definedName>
    <definedName name="_bdm.FastTrackBookmark.10_31_2020_1_08_13_PM.edm" hidden="1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" l="1" a="1"/>
  <c r="D42" i="1" s="1"/>
  <c r="D41" i="1" a="1"/>
  <c r="D41" i="1" s="1"/>
  <c r="C40" i="1" s="1"/>
  <c r="D39" i="1" a="1"/>
  <c r="D39" i="1" s="1"/>
  <c r="D38" i="1"/>
  <c r="C37" i="1" s="1"/>
  <c r="D38" i="1" a="1"/>
  <c r="D36" i="1" a="1"/>
  <c r="D36" i="1" s="1"/>
  <c r="D35" i="1" a="1"/>
  <c r="D35" i="1" s="1"/>
  <c r="D33" i="1" a="1"/>
  <c r="D33" i="1" s="1"/>
  <c r="D32" i="1" a="1"/>
  <c r="D32" i="1" s="1"/>
  <c r="D31" i="1" a="1"/>
  <c r="D31" i="1" s="1"/>
  <c r="D29" i="1" a="1"/>
  <c r="D29" i="1" s="1"/>
  <c r="D28" i="1"/>
  <c r="D28" i="1" a="1"/>
  <c r="D27" i="1"/>
  <c r="D27" i="1" a="1"/>
  <c r="D26" i="1" a="1"/>
  <c r="D26" i="1" s="1"/>
  <c r="D25" i="1" a="1"/>
  <c r="D25" i="1" s="1"/>
  <c r="D23" i="1" a="1"/>
  <c r="D23" i="1" s="1"/>
  <c r="D22" i="1" a="1"/>
  <c r="D22" i="1" s="1"/>
  <c r="D21" i="1" a="1"/>
  <c r="D21" i="1" s="1"/>
  <c r="C20" i="1" s="1"/>
  <c r="D19" i="1"/>
  <c r="D19" i="1" a="1"/>
  <c r="D18" i="1"/>
  <c r="D18" i="1" a="1"/>
  <c r="D17" i="1" a="1"/>
  <c r="D17" i="1" s="1"/>
  <c r="C16" i="1" s="1"/>
  <c r="D15" i="1" a="1"/>
  <c r="D15" i="1" s="1"/>
  <c r="D14" i="1" a="1"/>
  <c r="D14" i="1" s="1"/>
  <c r="C13" i="1" s="1"/>
  <c r="D12" i="1" a="1"/>
  <c r="D12" i="1" s="1"/>
  <c r="D11" i="1" a="1"/>
  <c r="D11" i="1" s="1"/>
  <c r="D10" i="1"/>
  <c r="D10" i="1" a="1"/>
  <c r="D9" i="1"/>
  <c r="C8" i="1" s="1"/>
  <c r="D9" i="1" a="1"/>
  <c r="C99" i="1"/>
  <c r="D86" i="1"/>
  <c r="C85" i="1"/>
  <c r="D72" i="1"/>
  <c r="C71" i="1"/>
  <c r="D58" i="1"/>
  <c r="C57" i="1"/>
  <c r="C30" i="1" l="1"/>
  <c r="C24" i="1"/>
  <c r="C4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<sst xmlns="http://schemas.openxmlformats.org/spreadsheetml/2006/main" count="465" uniqueCount="175">
  <si>
    <t>Score</t>
  </si>
  <si>
    <t>Weight</t>
  </si>
  <si>
    <t>Evaluation</t>
  </si>
  <si>
    <t>Criteria for Evaluation</t>
  </si>
  <si>
    <t>General Commentary / Supporting Data</t>
  </si>
  <si>
    <t>(1-3)</t>
  </si>
  <si>
    <t>(%)</t>
  </si>
  <si>
    <t>+/-</t>
  </si>
  <si>
    <t>+</t>
  </si>
  <si>
    <t>-</t>
  </si>
  <si>
    <t>Growth, Penetration and Catalyst</t>
  </si>
  <si>
    <t>&gt;3x GDP growth</t>
  </si>
  <si>
    <t>1-3x GDP growth</t>
  </si>
  <si>
    <t>Growth with GDP or below</t>
  </si>
  <si>
    <t>&gt;10% industry growth</t>
  </si>
  <si>
    <t>- Industry penetration</t>
  </si>
  <si>
    <t>Strong catalyst</t>
  </si>
  <si>
    <t>Potential catalyst</t>
  </si>
  <si>
    <t>No clear catalyst</t>
  </si>
  <si>
    <t>Data 'manipulation' is a huge pain point</t>
  </si>
  <si>
    <t>Size and Fragmentation</t>
  </si>
  <si>
    <t>- Number of players</t>
  </si>
  <si>
    <t>Thousands of players</t>
  </si>
  <si>
    <t>Hundreds of players</t>
  </si>
  <si>
    <t>Dozens of players</t>
  </si>
  <si>
    <t>~7 well-known players</t>
  </si>
  <si>
    <t>- Market share concentration</t>
  </si>
  <si>
    <t>Largest have &lt;10% mkt sh.</t>
  </si>
  <si>
    <t>Largest have &lt;25% mkt sh.</t>
  </si>
  <si>
    <t>Largest have &gt;50% mkt sh.</t>
  </si>
  <si>
    <t>Largest has ~35% of market</t>
  </si>
  <si>
    <t>Industry Economics</t>
  </si>
  <si>
    <t>- Average industry gross margins</t>
  </si>
  <si>
    <t>60-90% gross margins</t>
  </si>
  <si>
    <t>40-60% gross margins</t>
  </si>
  <si>
    <t>10-40% gross margins</t>
  </si>
  <si>
    <t>~80%/~55% recurring/non-rec gross margin</t>
  </si>
  <si>
    <t>- Average industry EBITDA margins</t>
  </si>
  <si>
    <t>30-60% EBITDA margins</t>
  </si>
  <si>
    <t>10-30% EBITDA margins</t>
  </si>
  <si>
    <t>&lt;10% EBITDA margins</t>
  </si>
  <si>
    <t>Probably close to 30%</t>
  </si>
  <si>
    <t>- Average industry ROTC</t>
  </si>
  <si>
    <t>&gt;20% ROTC</t>
  </si>
  <si>
    <t>10-20% ROTC</t>
  </si>
  <si>
    <t>&lt;10% ROTC</t>
  </si>
  <si>
    <t>Probably close to 20%</t>
  </si>
  <si>
    <t>Mission Criticality</t>
  </si>
  <si>
    <t>- Average customer feedback</t>
  </si>
  <si>
    <t>Positive customer feedback</t>
  </si>
  <si>
    <t>Neutral feedback</t>
  </si>
  <si>
    <t>Negative feedback</t>
  </si>
  <si>
    <t>Outstanding customer feedback</t>
  </si>
  <si>
    <t>- Clarity of value proposition</t>
  </si>
  <si>
    <t>Clear value proposition</t>
  </si>
  <si>
    <t>Weaker value proposition</t>
  </si>
  <si>
    <t>Unclear value proposition</t>
  </si>
  <si>
    <t>- Customer switching costs</t>
  </si>
  <si>
    <t>High customers switch costs</t>
  </si>
  <si>
    <t>Can be replaced w/effort</t>
  </si>
  <si>
    <t>Easy to replace</t>
  </si>
  <si>
    <t>Exogeneous Risks</t>
  </si>
  <si>
    <t>- Visibility on tech adoption and obsolescence</t>
  </si>
  <si>
    <t>High visibility</t>
  </si>
  <si>
    <t>Some visibility</t>
  </si>
  <si>
    <t>No visibility</t>
  </si>
  <si>
    <t>- Regulatory risk and frequency of changes</t>
  </si>
  <si>
    <t>Low risk and frequency</t>
  </si>
  <si>
    <t>Some risk and frequency</t>
  </si>
  <si>
    <t>High risk and frequency</t>
  </si>
  <si>
    <t>- Liability risks</t>
  </si>
  <si>
    <t>Low liability risks</t>
  </si>
  <si>
    <t>Some liability risks</t>
  </si>
  <si>
    <t>High liability risks</t>
  </si>
  <si>
    <t>- Cyclicality</t>
  </si>
  <si>
    <t>Low cyclicality</t>
  </si>
  <si>
    <t>Some cyclicality</t>
  </si>
  <si>
    <t>High cyclicality</t>
  </si>
  <si>
    <t>- Exposure to trends</t>
  </si>
  <si>
    <t>High resiliency to trends</t>
  </si>
  <si>
    <t>Some resiliency to trends</t>
  </si>
  <si>
    <t>Changing trends</t>
  </si>
  <si>
    <t>Porter's Five Forces</t>
  </si>
  <si>
    <t>- Prevalence of VC-backed startups</t>
  </si>
  <si>
    <t>Low</t>
  </si>
  <si>
    <t>Some</t>
  </si>
  <si>
    <t>High</t>
  </si>
  <si>
    <t>No VC-backed companies (only PE-owned)</t>
  </si>
  <si>
    <t>- Level of competition</t>
  </si>
  <si>
    <t>High competition</t>
  </si>
  <si>
    <t>- State of new entrants</t>
  </si>
  <si>
    <t>No new entrants</t>
  </si>
  <si>
    <t>- Level of supplier power</t>
  </si>
  <si>
    <t>N/A</t>
  </si>
  <si>
    <t>- Level of customer power</t>
  </si>
  <si>
    <t>Some customer power</t>
  </si>
  <si>
    <t>- Threat of substitutes</t>
  </si>
  <si>
    <t>Some substitutes</t>
  </si>
  <si>
    <t>- General complexity of businesses</t>
  </si>
  <si>
    <t>Simple businesses</t>
  </si>
  <si>
    <t>Moderate complexity</t>
  </si>
  <si>
    <t>Complex businesses</t>
  </si>
  <si>
    <t>- Professionalization opportunities</t>
  </si>
  <si>
    <t>Several actionable levers</t>
  </si>
  <si>
    <t>Some actionable levers</t>
  </si>
  <si>
    <t>Technical skills required</t>
  </si>
  <si>
    <t>Impact and Externalities</t>
  </si>
  <si>
    <t>- Net impact to society</t>
  </si>
  <si>
    <t>Net positive impact</t>
  </si>
  <si>
    <t>Neutral impact</t>
  </si>
  <si>
    <t>Net negative impact</t>
  </si>
  <si>
    <t>- Positive or negative externalities</t>
  </si>
  <si>
    <t>Positive externalities</t>
  </si>
  <si>
    <t>Neutral externalities</t>
  </si>
  <si>
    <t>Negative externalities</t>
  </si>
  <si>
    <t>Total Score</t>
  </si>
  <si>
    <t>Commentary: N/A</t>
  </si>
  <si>
    <t>WW - Company Scorecard</t>
  </si>
  <si>
    <t>(1-10)</t>
  </si>
  <si>
    <t>Clear Value Proposition &amp; Mission Criticality</t>
  </si>
  <si>
    <t>Strong ROI, though not 100% mission critical</t>
  </si>
  <si>
    <t>Market is Hospitable (&amp; Sizeable) to Grow</t>
  </si>
  <si>
    <t>Underpenetrated market growing &gt;10%</t>
  </si>
  <si>
    <t>Company has a 'Right to Win' at Attractive ICP</t>
  </si>
  <si>
    <t>Win/loss ratios of 1/3 or more</t>
  </si>
  <si>
    <t>Company Retains Its Customers</t>
  </si>
  <si>
    <t>100% gross / 110% net</t>
  </si>
  <si>
    <t>95% gross (industry)</t>
  </si>
  <si>
    <t>100% gross retention, 95% industry ret.</t>
  </si>
  <si>
    <t>Unit Economics are Attractive; Sizeable Co.</t>
  </si>
  <si>
    <t>Technology is Sound; Product is Scalable</t>
  </si>
  <si>
    <t>Multi-tenant modern SaaS hosted in Azure</t>
  </si>
  <si>
    <t>Valuation</t>
  </si>
  <si>
    <t>Paying relatively full price</t>
  </si>
  <si>
    <t>Commentary: I would personally give WW a 8 to 8+</t>
  </si>
  <si>
    <t>Value Creation Opportunities</t>
  </si>
  <si>
    <t>- Evidence to support a catalyst</t>
  </si>
  <si>
    <t>Mix of Tailwinds/Headwinds</t>
  </si>
  <si>
    <t>Mostly Headwinds</t>
  </si>
  <si>
    <t>Mostly Tailwinds</t>
  </si>
  <si>
    <t>- future growth expectations</t>
  </si>
  <si>
    <t>- Growth relative to GDP (5 yr CAGR)</t>
  </si>
  <si>
    <t>Revenue Concentration</t>
  </si>
  <si>
    <t>Strong team, seller willingness, &amp;  smooth transition path</t>
  </si>
  <si>
    <t>35% penetration; strong tailwinds</t>
  </si>
  <si>
    <t>Growing strong in smaller segments</t>
  </si>
  <si>
    <t>Slower growth in larger/target segments</t>
  </si>
  <si>
    <t>Wins frequently; strong fit</t>
  </si>
  <si>
    <t>Needs brand elevation or credibility</t>
  </si>
  <si>
    <t>Poor ICP fit</t>
  </si>
  <si>
    <t>Usage decreases through time or Churn risk</t>
  </si>
  <si>
    <t>High concentration &gt;40%</t>
  </si>
  <si>
    <t xml:space="preserve">Low customer concentration; diversified	</t>
  </si>
  <si>
    <t xml:space="preserve">1–2 customers = 20–30%	</t>
  </si>
  <si>
    <t>Small business; low margins</t>
  </si>
  <si>
    <t xml:space="preserve">High gross margins; &gt;$5M revenue	</t>
  </si>
  <si>
    <t xml:space="preserve">Moderate EBITDA / growing margins	</t>
  </si>
  <si>
    <t xml:space="preserve">Cloud-native, scalable	</t>
  </si>
  <si>
    <t xml:space="preserve">Needs modernization	</t>
  </si>
  <si>
    <t>Legacy / unscalable</t>
  </si>
  <si>
    <t>Reasonable (~3.5x Revenue)</t>
  </si>
  <si>
    <t>Low absolute price (~$10M) or attractive multiple</t>
  </si>
  <si>
    <t>High Multiple (~6x ARR) / premium paid</t>
  </si>
  <si>
    <t xml:space="preserve">Seller ready; strong team	</t>
  </si>
  <si>
    <t xml:space="preserve">Needs transition or talent adds	</t>
  </si>
  <si>
    <t>Seller unwilling or team weak</t>
  </si>
  <si>
    <t>Fully non-recurring or lumpy project-based revenue; unclear or no path to predictability</t>
  </si>
  <si>
    <t>Revenue is already largely recurring (e.g., 80–90% contracted or usage-based), limiting transformation upside</t>
  </si>
  <si>
    <t>Partially recurring today, with clear opportunity to increase or convert to a fully recurring model</t>
  </si>
  <si>
    <r>
      <t>Revenue Predictability (</t>
    </r>
    <r>
      <rPr>
        <i/>
        <sz val="8"/>
        <color theme="1"/>
        <rFont val="Calibri"/>
        <family val="2"/>
      </rPr>
      <t>transformation opportunity for value creation)</t>
    </r>
  </si>
  <si>
    <t>Unclear value or non-mission-critical; easily delayed or cut from budget</t>
  </si>
  <si>
    <t>Clear value proposition; mission critical for primary ICP (IDN, Hospitals, etc)</t>
  </si>
  <si>
    <t>Partial clarity; benefits visible but ROI not always evident across segments</t>
  </si>
  <si>
    <t>XX Industry Scorecard</t>
  </si>
  <si>
    <t>XX  Industry Scorecard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</si>
</sst>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0_);\(#,##0.00\);#,##0.00_);@_)"/>
    <numFmt numFmtId="166" formatCode="#,##0_);\(#,##0\);#,##0_);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b/>
      <sz val="10"/>
      <color theme="1"/>
      <name val="Calibri"/>
      <family val="2"/>
    </font>
    <font>
      <b/>
      <sz val="10"/>
      <color rgb="FF0000FF"/>
      <name val="Calibri"/>
      <family val="2"/>
    </font>
    <font>
      <sz val="10"/>
      <color rgb="FF0000FF"/>
      <name val="Calibri"/>
      <family val="2"/>
    </font>
    <font>
      <i/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ashed">
        <color rgb="FF000000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/>
    <xf numFmtId="0" fontId="2" fillId="0" borderId="0"/>
    <xf numFmtId="9" fontId="1" fillId="0" borderId="0"/>
  </cellStyleXfs>
  <cellXfs count="61">
    <xf numFmtId="0" fontId="0" fillId="0" borderId="0" xfId="0"/>
    <xf numFmtId="9" fontId="2" fillId="0" borderId="0" xfId="1" applyFont="1" applyAlignment="1">
      <alignment horizontal="center" vertical="top"/>
    </xf>
    <xf numFmtId="0" fontId="2" fillId="0" borderId="0" xfId="2"/>
    <xf numFmtId="9" fontId="2" fillId="0" borderId="0" xfId="2" applyNumberFormat="1"/>
    <xf numFmtId="0" fontId="5" fillId="0" borderId="5" xfId="2" applyFont="1" applyBorder="1"/>
    <xf numFmtId="16" fontId="5" fillId="0" borderId="0" xfId="2" quotePrefix="1" applyNumberFormat="1" applyFont="1" applyAlignment="1">
      <alignment horizontal="center"/>
    </xf>
    <xf numFmtId="9" fontId="5" fillId="0" borderId="0" xfId="1" quotePrefix="1" applyFont="1" applyAlignment="1">
      <alignment horizontal="center" vertical="top"/>
    </xf>
    <xf numFmtId="9" fontId="5" fillId="0" borderId="6" xfId="1" quotePrefix="1" applyFont="1" applyBorder="1" applyAlignment="1">
      <alignment horizontal="center" vertical="top"/>
    </xf>
    <xf numFmtId="0" fontId="2" fillId="0" borderId="0" xfId="2" applyAlignment="1">
      <alignment horizontal="center"/>
    </xf>
    <xf numFmtId="0" fontId="2" fillId="0" borderId="6" xfId="2" applyBorder="1"/>
    <xf numFmtId="0" fontId="2" fillId="0" borderId="5" xfId="2" quotePrefix="1" applyBorder="1" applyAlignment="1">
      <alignment horizontal="left" indent="1"/>
    </xf>
    <xf numFmtId="0" fontId="2" fillId="0" borderId="7" xfId="2" quotePrefix="1" applyBorder="1" applyAlignment="1">
      <alignment horizontal="left" indent="1"/>
    </xf>
    <xf numFmtId="0" fontId="2" fillId="0" borderId="8" xfId="2" applyBorder="1"/>
    <xf numFmtId="0" fontId="2" fillId="0" borderId="9" xfId="2" applyBorder="1"/>
    <xf numFmtId="0" fontId="5" fillId="0" borderId="10" xfId="2" applyFont="1" applyBorder="1"/>
    <xf numFmtId="9" fontId="5" fillId="0" borderId="0" xfId="2" applyNumberFormat="1" applyFont="1" applyAlignment="1">
      <alignment horizontal="center"/>
    </xf>
    <xf numFmtId="0" fontId="2" fillId="0" borderId="11" xfId="2" applyBorder="1"/>
    <xf numFmtId="0" fontId="2" fillId="0" borderId="12" xfId="2" applyBorder="1"/>
    <xf numFmtId="0" fontId="5" fillId="0" borderId="11" xfId="2" applyFont="1" applyBorder="1"/>
    <xf numFmtId="0" fontId="2" fillId="0" borderId="14" xfId="2" quotePrefix="1" applyBorder="1" applyAlignment="1">
      <alignment horizontal="left" indent="1"/>
    </xf>
    <xf numFmtId="0" fontId="2" fillId="0" borderId="15" xfId="2" applyBorder="1"/>
    <xf numFmtId="0" fontId="2" fillId="0" borderId="16" xfId="2" applyBorder="1"/>
    <xf numFmtId="9" fontId="5" fillId="0" borderId="19" xfId="1" quotePrefix="1" applyFont="1" applyBorder="1" applyAlignment="1">
      <alignment horizontal="center" vertical="top"/>
    </xf>
    <xf numFmtId="0" fontId="2" fillId="0" borderId="19" xfId="2" applyBorder="1"/>
    <xf numFmtId="0" fontId="2" fillId="0" borderId="13" xfId="2" applyBorder="1"/>
    <xf numFmtId="0" fontId="2" fillId="0" borderId="18" xfId="2" applyBorder="1"/>
    <xf numFmtId="0" fontId="2" fillId="0" borderId="5" xfId="2" applyBorder="1"/>
    <xf numFmtId="9" fontId="7" fillId="0" borderId="0" xfId="2" applyNumberFormat="1" applyFont="1" applyAlignment="1">
      <alignment horizontal="center"/>
    </xf>
    <xf numFmtId="0" fontId="2" fillId="2" borderId="0" xfId="2" applyFill="1"/>
    <xf numFmtId="0" fontId="3" fillId="2" borderId="0" xfId="2" applyFont="1" applyFill="1"/>
    <xf numFmtId="0" fontId="3" fillId="2" borderId="0" xfId="2" applyFont="1" applyFill="1" applyAlignment="1">
      <alignment horizontal="right"/>
    </xf>
    <xf numFmtId="164" fontId="3" fillId="2" borderId="0" xfId="1" applyNumberFormat="1" applyFont="1" applyFill="1" applyAlignment="1">
      <alignment horizontal="center" vertical="top"/>
    </xf>
    <xf numFmtId="165" fontId="3" fillId="2" borderId="0" xfId="1" applyNumberFormat="1" applyFont="1" applyFill="1" applyAlignment="1">
      <alignment horizontal="center" vertical="top"/>
    </xf>
    <xf numFmtId="0" fontId="4" fillId="2" borderId="0" xfId="2" applyFont="1" applyFill="1"/>
    <xf numFmtId="166" fontId="3" fillId="2" borderId="0" xfId="1" applyNumberFormat="1" applyFont="1" applyFill="1" applyAlignment="1">
      <alignment horizontal="center" vertical="top"/>
    </xf>
    <xf numFmtId="0" fontId="3" fillId="2" borderId="3" xfId="2" applyFont="1" applyFill="1" applyBorder="1"/>
    <xf numFmtId="0" fontId="3" fillId="2" borderId="1" xfId="2" applyFont="1" applyFill="1" applyBorder="1" applyAlignment="1">
      <alignment horizontal="center"/>
    </xf>
    <xf numFmtId="9" fontId="3" fillId="2" borderId="1" xfId="1" applyFont="1" applyFill="1" applyBorder="1" applyAlignment="1">
      <alignment horizontal="center"/>
    </xf>
    <xf numFmtId="9" fontId="3" fillId="2" borderId="1" xfId="1" applyFont="1" applyFill="1" applyBorder="1"/>
    <xf numFmtId="9" fontId="3" fillId="2" borderId="4" xfId="1" applyFont="1" applyFill="1" applyBorder="1"/>
    <xf numFmtId="0" fontId="3" fillId="2" borderId="17" xfId="2" applyFont="1" applyFill="1" applyBorder="1" applyAlignment="1">
      <alignment horizontal="center"/>
    </xf>
    <xf numFmtId="0" fontId="3" fillId="2" borderId="7" xfId="2" applyFont="1" applyFill="1" applyBorder="1"/>
    <xf numFmtId="16" fontId="3" fillId="2" borderId="8" xfId="2" quotePrefix="1" applyNumberFormat="1" applyFont="1" applyFill="1" applyBorder="1" applyAlignment="1">
      <alignment horizontal="center"/>
    </xf>
    <xf numFmtId="9" fontId="3" fillId="2" borderId="8" xfId="1" applyFont="1" applyFill="1" applyBorder="1" applyAlignment="1">
      <alignment horizontal="center"/>
    </xf>
    <xf numFmtId="9" fontId="3" fillId="2" borderId="8" xfId="1" quotePrefix="1" applyFont="1" applyFill="1" applyBorder="1" applyAlignment="1">
      <alignment horizontal="center"/>
    </xf>
    <xf numFmtId="9" fontId="3" fillId="2" borderId="9" xfId="1" quotePrefix="1" applyFont="1" applyFill="1" applyBorder="1" applyAlignment="1">
      <alignment horizontal="center"/>
    </xf>
    <xf numFmtId="9" fontId="3" fillId="2" borderId="18" xfId="1" quotePrefix="1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0" fontId="7" fillId="3" borderId="2" xfId="2" applyFont="1" applyFill="1" applyBorder="1" applyAlignment="1">
      <alignment horizontal="center"/>
    </xf>
    <xf numFmtId="2" fontId="6" fillId="3" borderId="2" xfId="2" applyNumberFormat="1" applyFont="1" applyFill="1" applyBorder="1" applyAlignment="1">
      <alignment horizontal="center"/>
    </xf>
    <xf numFmtId="2" fontId="2" fillId="0" borderId="0" xfId="2" applyNumberFormat="1"/>
    <xf numFmtId="2" fontId="2" fillId="0" borderId="15" xfId="2" applyNumberFormat="1" applyBorder="1"/>
    <xf numFmtId="2" fontId="2" fillId="0" borderId="8" xfId="2" applyNumberFormat="1" applyBorder="1"/>
    <xf numFmtId="0" fontId="2" fillId="0" borderId="5" xfId="2" applyBorder="1" applyAlignment="1">
      <alignment wrapText="1"/>
    </xf>
    <xf numFmtId="9" fontId="5" fillId="0" borderId="0" xfId="3" applyFont="1" applyAlignment="1">
      <alignment horizontal="center" vertical="top"/>
    </xf>
    <xf numFmtId="9" fontId="5" fillId="0" borderId="0" xfId="3" quotePrefix="1" applyFont="1" applyAlignment="1">
      <alignment horizontal="center" vertical="top"/>
    </xf>
    <xf numFmtId="0" fontId="4" fillId="0" borderId="0" xfId="2" applyFont="1"/>
    <xf numFmtId="0" fontId="4" fillId="0" borderId="20" xfId="2" applyFont="1" applyBorder="1"/>
    <xf numFmtId="0" fontId="3" fillId="2" borderId="4" xfId="2" applyFont="1" applyFill="1" applyBorder="1" applyAlignment="1">
      <alignment horizontal="center"/>
    </xf>
    <xf numFmtId="0" fontId="0" fillId="0" borderId="1" xfId="0" applyBorder="1"/>
    <xf numFmtId="0" fontId="0" fillId="0" borderId="4" xfId="0" applyBorder="1"/>
  </cellXfs>
  <cellStyles count="4">
    <cellStyle name="Normal" xfId="0" builtinId="0"/>
    <cellStyle name="Normal 2" xfId="2" xr:uid="{00000000-0005-0000-0000-000002000000}"/>
    <cellStyle name="Percent" xfId="1" builtinId="5"/>
    <cellStyle name="Percent 2" xfId="3" xr:uid="{80AFCD91-953A-F847-94B2-078978A071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752C-E62C-F74B-8089-60CB5EF45740}">
  <dimension ref="A1"/>
  <sheetViews>
    <sheetView tabSelected="1" workbookViewId="0">
      <selection activeCell="A7" sqref="A7"/>
    </sheetView>
  </sheetViews>
  <sheetFormatPr baseColWidth="10" defaultRowHeight="15" x14ac:dyDescent="0.2"/>
  <sheetData/>
  <pageMargins left="0.7" right="0.7" top="0.75" bottom="0.75" header="0.3" footer="0.3"/>
  <pageSetup paperSize="256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B1:J99"/>
  <sheetViews>
    <sheetView showGridLines="0" zoomScale="170" zoomScaleNormal="170" workbookViewId="0">
      <selection activeCell="B57" sqref="B57"/>
    </sheetView>
  </sheetViews>
  <sheetFormatPr baseColWidth="10" defaultColWidth="8.83203125" defaultRowHeight="14" outlineLevelCol="1" x14ac:dyDescent="0.2"/>
  <cols>
    <col min="1" max="1" width="1.33203125" style="2" customWidth="1"/>
    <col min="2" max="2" width="47.33203125" style="2" customWidth="1"/>
    <col min="3" max="4" width="11.83203125" style="2" customWidth="1" outlineLevel="1"/>
    <col min="5" max="5" width="8.33203125" style="2" customWidth="1" outlineLevel="1"/>
    <col min="6" max="6" width="3.1640625" style="2" bestFit="1" customWidth="1"/>
    <col min="7" max="7" width="25.6640625" style="2" customWidth="1" outlineLevel="1"/>
    <col min="8" max="8" width="32" style="2" customWidth="1" outlineLevel="1"/>
    <col min="9" max="9" width="23" style="2" customWidth="1" outlineLevel="1"/>
    <col min="10" max="10" width="32.1640625" style="2" customWidth="1"/>
    <col min="11" max="11" width="8.83203125" style="2" customWidth="1"/>
    <col min="12" max="16384" width="8.83203125" style="2"/>
  </cols>
  <sheetData>
    <row r="1" spans="2:10" s="28" customFormat="1" x14ac:dyDescent="0.2"/>
    <row r="2" spans="2:10" s="28" customFormat="1" x14ac:dyDescent="0.2">
      <c r="B2" s="29"/>
      <c r="C2" s="30"/>
      <c r="D2" s="31"/>
      <c r="E2" s="31"/>
      <c r="F2" s="31"/>
      <c r="G2" s="32"/>
      <c r="H2" s="32"/>
      <c r="I2" s="30"/>
    </row>
    <row r="3" spans="2:10" s="28" customFormat="1" x14ac:dyDescent="0.2">
      <c r="B3" s="33" t="s">
        <v>173</v>
      </c>
      <c r="C3" s="30"/>
      <c r="D3" s="34"/>
      <c r="E3" s="34"/>
      <c r="F3" s="34"/>
      <c r="G3" s="32"/>
      <c r="H3" s="32"/>
      <c r="I3" s="30"/>
    </row>
    <row r="4" spans="2:10" ht="6" customHeight="1" x14ac:dyDescent="0.2">
      <c r="D4" s="1"/>
      <c r="E4" s="1"/>
      <c r="F4" s="1"/>
      <c r="G4" s="1"/>
      <c r="H4" s="1"/>
    </row>
    <row r="5" spans="2:10" ht="14.5" customHeight="1" x14ac:dyDescent="0.2">
      <c r="B5" s="35" t="s">
        <v>174</v>
      </c>
      <c r="C5" s="36" t="s">
        <v>0</v>
      </c>
      <c r="D5" s="37" t="s">
        <v>1</v>
      </c>
      <c r="E5" s="38" t="s">
        <v>2</v>
      </c>
      <c r="F5" s="39"/>
      <c r="G5" s="58" t="s">
        <v>3</v>
      </c>
      <c r="H5" s="59"/>
      <c r="I5" s="60"/>
      <c r="J5" s="40" t="s">
        <v>4</v>
      </c>
    </row>
    <row r="6" spans="2:10" x14ac:dyDescent="0.2">
      <c r="B6" s="41"/>
      <c r="C6" s="42" t="s">
        <v>5</v>
      </c>
      <c r="D6" s="43" t="s">
        <v>6</v>
      </c>
      <c r="E6" s="44" t="s">
        <v>7</v>
      </c>
      <c r="F6" s="45"/>
      <c r="G6" s="44" t="s">
        <v>8</v>
      </c>
      <c r="H6" s="44" t="s">
        <v>7</v>
      </c>
      <c r="I6" s="45" t="s">
        <v>9</v>
      </c>
      <c r="J6" s="46"/>
    </row>
    <row r="7" spans="2:10" ht="6" customHeight="1" x14ac:dyDescent="0.2">
      <c r="B7" s="4"/>
      <c r="C7" s="5"/>
      <c r="D7" s="54"/>
      <c r="E7" s="55"/>
      <c r="F7" s="7"/>
      <c r="G7" s="6"/>
      <c r="H7" s="6"/>
      <c r="I7" s="7"/>
      <c r="J7" s="22"/>
    </row>
    <row r="8" spans="2:10" x14ac:dyDescent="0.2">
      <c r="B8" s="4" t="s">
        <v>10</v>
      </c>
      <c r="C8" s="49">
        <f>AVERAGE(D9:D12)</f>
        <v>2.75</v>
      </c>
      <c r="D8" s="15">
        <v>0.25</v>
      </c>
      <c r="E8" s="8"/>
      <c r="F8" s="9"/>
      <c r="I8" s="9"/>
      <c r="J8" s="23"/>
    </row>
    <row r="9" spans="2:10" ht="12.75" customHeight="1" x14ac:dyDescent="0.2">
      <c r="B9" s="10" t="s">
        <v>141</v>
      </c>
      <c r="C9" s="50"/>
      <c r="D9" s="56" cm="1">
        <f t="array" ref="D9">_xlfn.SWITCH(E9,"+",3,"+/-",2,"-",1)</f>
        <v>3</v>
      </c>
      <c r="E9" s="48" t="s">
        <v>8</v>
      </c>
      <c r="F9" s="9"/>
      <c r="G9" s="2" t="s">
        <v>11</v>
      </c>
      <c r="H9" s="2" t="s">
        <v>12</v>
      </c>
      <c r="I9" s="9" t="s">
        <v>13</v>
      </c>
      <c r="J9" s="23" t="s">
        <v>14</v>
      </c>
    </row>
    <row r="10" spans="2:10" ht="12.75" customHeight="1" x14ac:dyDescent="0.2">
      <c r="B10" s="10" t="s">
        <v>15</v>
      </c>
      <c r="C10" s="50"/>
      <c r="D10" s="56" cm="1">
        <f t="array" ref="D10">_xlfn.SWITCH(E10,"+",3,"+/-",2,"-",1)</f>
        <v>3</v>
      </c>
      <c r="E10" s="48" t="s">
        <v>8</v>
      </c>
      <c r="F10" s="9" t="s">
        <v>7</v>
      </c>
      <c r="G10" s="2" t="s">
        <v>16</v>
      </c>
      <c r="H10" s="2" t="s">
        <v>17</v>
      </c>
      <c r="I10" s="9" t="s">
        <v>18</v>
      </c>
      <c r="J10" s="23" t="s">
        <v>19</v>
      </c>
    </row>
    <row r="11" spans="2:10" ht="12.75" customHeight="1" x14ac:dyDescent="0.2">
      <c r="B11" s="10" t="s">
        <v>140</v>
      </c>
      <c r="C11" s="50"/>
      <c r="D11" s="56" cm="1">
        <f t="array" ref="D11">_xlfn.SWITCH(E11,"+",3,"+/-",2,"-",1)</f>
        <v>3</v>
      </c>
      <c r="E11" s="48" t="s">
        <v>8</v>
      </c>
      <c r="F11" s="9"/>
      <c r="G11" s="2" t="s">
        <v>139</v>
      </c>
      <c r="H11" s="2" t="s">
        <v>137</v>
      </c>
      <c r="I11" s="9" t="s">
        <v>138</v>
      </c>
      <c r="J11" s="23"/>
    </row>
    <row r="12" spans="2:10" ht="12.75" customHeight="1" x14ac:dyDescent="0.2">
      <c r="B12" s="19" t="s">
        <v>136</v>
      </c>
      <c r="C12" s="51"/>
      <c r="D12" s="57" cm="1">
        <f t="array" ref="D12">_xlfn.SWITCH(E12,"+",3,"+/-",2,"-",1)</f>
        <v>2</v>
      </c>
      <c r="E12" s="48" t="s">
        <v>7</v>
      </c>
      <c r="F12" s="21"/>
      <c r="G12" s="20" t="s">
        <v>16</v>
      </c>
      <c r="H12" s="20" t="s">
        <v>17</v>
      </c>
      <c r="I12" s="21" t="s">
        <v>18</v>
      </c>
      <c r="J12" s="24" t="s">
        <v>19</v>
      </c>
    </row>
    <row r="13" spans="2:10" ht="12.75" customHeight="1" x14ac:dyDescent="0.2">
      <c r="B13" s="4" t="s">
        <v>20</v>
      </c>
      <c r="C13" s="49">
        <f>AVERAGE(D14:D15)</f>
        <v>1.5</v>
      </c>
      <c r="D13" s="15">
        <v>0.1</v>
      </c>
      <c r="E13" s="8"/>
      <c r="F13" s="9"/>
      <c r="I13" s="9"/>
      <c r="J13" s="23"/>
    </row>
    <row r="14" spans="2:10" ht="12.75" customHeight="1" x14ac:dyDescent="0.2">
      <c r="B14" s="10" t="s">
        <v>21</v>
      </c>
      <c r="C14" s="50"/>
      <c r="D14" s="56" cm="1">
        <f t="array" ref="D14">_xlfn.SWITCH(E14,"+",3,"+/-",2,"-",1)</f>
        <v>1</v>
      </c>
      <c r="E14" s="48" t="s">
        <v>9</v>
      </c>
      <c r="F14" s="9"/>
      <c r="G14" s="2" t="s">
        <v>22</v>
      </c>
      <c r="H14" s="2" t="s">
        <v>23</v>
      </c>
      <c r="I14" s="2" t="s">
        <v>24</v>
      </c>
      <c r="J14" s="23" t="s">
        <v>25</v>
      </c>
    </row>
    <row r="15" spans="2:10" ht="12.75" customHeight="1" x14ac:dyDescent="0.2">
      <c r="B15" s="19" t="s">
        <v>26</v>
      </c>
      <c r="C15" s="51"/>
      <c r="D15" s="57" cm="1">
        <f t="array" ref="D15">_xlfn.SWITCH(E15,"+",3,"+/-",2,"-",1)</f>
        <v>2</v>
      </c>
      <c r="E15" s="48" t="s">
        <v>7</v>
      </c>
      <c r="F15" s="21"/>
      <c r="G15" s="20" t="s">
        <v>27</v>
      </c>
      <c r="H15" s="20" t="s">
        <v>28</v>
      </c>
      <c r="I15" s="21" t="s">
        <v>29</v>
      </c>
      <c r="J15" s="24" t="s">
        <v>30</v>
      </c>
    </row>
    <row r="16" spans="2:10" ht="12.75" customHeight="1" x14ac:dyDescent="0.2">
      <c r="B16" s="4" t="s">
        <v>31</v>
      </c>
      <c r="C16" s="49">
        <f>AVERAGE(D17:D19)</f>
        <v>3</v>
      </c>
      <c r="D16" s="15">
        <v>0.1</v>
      </c>
      <c r="E16" s="8"/>
      <c r="F16" s="9"/>
      <c r="I16" s="9"/>
      <c r="J16" s="23"/>
    </row>
    <row r="17" spans="2:10" ht="12.75" customHeight="1" x14ac:dyDescent="0.2">
      <c r="B17" s="10" t="s">
        <v>32</v>
      </c>
      <c r="C17" s="50"/>
      <c r="D17" s="56" cm="1">
        <f t="array" ref="D17">_xlfn.SWITCH(E17,"+",3,"+/-",2,"-",1)</f>
        <v>3</v>
      </c>
      <c r="E17" s="48" t="s">
        <v>8</v>
      </c>
      <c r="F17" s="9"/>
      <c r="G17" s="2" t="s">
        <v>33</v>
      </c>
      <c r="H17" s="2" t="s">
        <v>34</v>
      </c>
      <c r="I17" s="9" t="s">
        <v>35</v>
      </c>
      <c r="J17" s="23" t="s">
        <v>36</v>
      </c>
    </row>
    <row r="18" spans="2:10" ht="12.75" customHeight="1" x14ac:dyDescent="0.2">
      <c r="B18" s="10" t="s">
        <v>37</v>
      </c>
      <c r="C18" s="50"/>
      <c r="D18" s="56" cm="1">
        <f t="array" ref="D18">_xlfn.SWITCH(E18,"+",3,"+/-",2,"-",1)</f>
        <v>3</v>
      </c>
      <c r="E18" s="48" t="s">
        <v>8</v>
      </c>
      <c r="F18" s="9"/>
      <c r="G18" s="2" t="s">
        <v>38</v>
      </c>
      <c r="H18" s="2" t="s">
        <v>39</v>
      </c>
      <c r="I18" s="9" t="s">
        <v>40</v>
      </c>
      <c r="J18" s="23" t="s">
        <v>41</v>
      </c>
    </row>
    <row r="19" spans="2:10" ht="12.75" customHeight="1" x14ac:dyDescent="0.2">
      <c r="B19" s="19" t="s">
        <v>42</v>
      </c>
      <c r="C19" s="51"/>
      <c r="D19" s="57" cm="1">
        <f t="array" ref="D19">_xlfn.SWITCH(E19,"+",3,"+/-",2,"-",1)</f>
        <v>3</v>
      </c>
      <c r="E19" s="48" t="s">
        <v>8</v>
      </c>
      <c r="F19" s="21"/>
      <c r="G19" s="20" t="s">
        <v>43</v>
      </c>
      <c r="H19" s="20" t="s">
        <v>44</v>
      </c>
      <c r="I19" s="21" t="s">
        <v>45</v>
      </c>
      <c r="J19" s="24" t="s">
        <v>46</v>
      </c>
    </row>
    <row r="20" spans="2:10" ht="12.75" customHeight="1" x14ac:dyDescent="0.2">
      <c r="B20" s="4" t="s">
        <v>47</v>
      </c>
      <c r="C20" s="49">
        <f>AVERAGE(D21:D23)</f>
        <v>2.3333333333333335</v>
      </c>
      <c r="D20" s="15">
        <v>0.15</v>
      </c>
      <c r="E20" s="8"/>
      <c r="F20" s="9"/>
      <c r="I20" s="9"/>
      <c r="J20" s="23"/>
    </row>
    <row r="21" spans="2:10" ht="12.75" customHeight="1" x14ac:dyDescent="0.2">
      <c r="B21" s="10" t="s">
        <v>48</v>
      </c>
      <c r="C21" s="50"/>
      <c r="D21" s="56" cm="1">
        <f t="array" ref="D21">_xlfn.SWITCH(E21,"+",3,"+/-",2,"-",1)</f>
        <v>3</v>
      </c>
      <c r="E21" s="48" t="s">
        <v>8</v>
      </c>
      <c r="F21" s="9"/>
      <c r="G21" s="2" t="s">
        <v>49</v>
      </c>
      <c r="H21" s="2" t="s">
        <v>50</v>
      </c>
      <c r="I21" s="9" t="s">
        <v>51</v>
      </c>
      <c r="J21" s="23" t="s">
        <v>52</v>
      </c>
    </row>
    <row r="22" spans="2:10" ht="12.75" customHeight="1" x14ac:dyDescent="0.2">
      <c r="B22" s="10" t="s">
        <v>53</v>
      </c>
      <c r="C22" s="50"/>
      <c r="D22" s="56" cm="1">
        <f t="array" ref="D22">_xlfn.SWITCH(E22,"+",3,"+/-",2,"-",1)</f>
        <v>2</v>
      </c>
      <c r="E22" s="48" t="s">
        <v>7</v>
      </c>
      <c r="F22" s="9"/>
      <c r="G22" s="2" t="s">
        <v>54</v>
      </c>
      <c r="H22" s="2" t="s">
        <v>55</v>
      </c>
      <c r="I22" s="9" t="s">
        <v>56</v>
      </c>
      <c r="J22" s="23" t="s">
        <v>55</v>
      </c>
    </row>
    <row r="23" spans="2:10" ht="12.75" customHeight="1" x14ac:dyDescent="0.2">
      <c r="B23" s="19" t="s">
        <v>57</v>
      </c>
      <c r="C23" s="51"/>
      <c r="D23" s="57" cm="1">
        <f t="array" ref="D23">_xlfn.SWITCH(E23,"+",3,"+/-",2,"-",1)</f>
        <v>2</v>
      </c>
      <c r="E23" s="48" t="s">
        <v>7</v>
      </c>
      <c r="F23" s="21"/>
      <c r="G23" s="20" t="s">
        <v>58</v>
      </c>
      <c r="H23" s="20" t="s">
        <v>59</v>
      </c>
      <c r="I23" s="21" t="s">
        <v>60</v>
      </c>
      <c r="J23" s="24" t="s">
        <v>59</v>
      </c>
    </row>
    <row r="24" spans="2:10" ht="12.75" customHeight="1" x14ac:dyDescent="0.2">
      <c r="B24" s="4" t="s">
        <v>61</v>
      </c>
      <c r="C24" s="49">
        <f>AVERAGE(D25:D29)</f>
        <v>2.4</v>
      </c>
      <c r="D24" s="15">
        <v>0.1</v>
      </c>
      <c r="E24" s="8"/>
      <c r="F24" s="9"/>
      <c r="I24" s="9"/>
      <c r="J24" s="23"/>
    </row>
    <row r="25" spans="2:10" ht="12.75" customHeight="1" x14ac:dyDescent="0.2">
      <c r="B25" s="10" t="s">
        <v>62</v>
      </c>
      <c r="C25" s="50"/>
      <c r="D25" s="56" cm="1">
        <f t="array" ref="D25">_xlfn.SWITCH(E25,"+",3,"+/-",2,"-",1)</f>
        <v>3</v>
      </c>
      <c r="E25" s="48" t="s">
        <v>8</v>
      </c>
      <c r="F25" s="9"/>
      <c r="G25" s="2" t="s">
        <v>63</v>
      </c>
      <c r="H25" s="2" t="s">
        <v>64</v>
      </c>
      <c r="I25" s="9" t="s">
        <v>65</v>
      </c>
      <c r="J25" s="23" t="s">
        <v>63</v>
      </c>
    </row>
    <row r="26" spans="2:10" ht="12.75" customHeight="1" x14ac:dyDescent="0.2">
      <c r="B26" s="10" t="s">
        <v>66</v>
      </c>
      <c r="C26" s="50"/>
      <c r="D26" s="56" cm="1">
        <f t="array" ref="D26">_xlfn.SWITCH(E26,"+",3,"+/-",2,"-",1)</f>
        <v>2</v>
      </c>
      <c r="E26" s="48" t="s">
        <v>7</v>
      </c>
      <c r="F26" s="9"/>
      <c r="G26" s="2" t="s">
        <v>67</v>
      </c>
      <c r="H26" s="2" t="s">
        <v>68</v>
      </c>
      <c r="I26" s="9" t="s">
        <v>69</v>
      </c>
      <c r="J26" s="23" t="s">
        <v>68</v>
      </c>
    </row>
    <row r="27" spans="2:10" ht="12.75" customHeight="1" x14ac:dyDescent="0.2">
      <c r="B27" s="10" t="s">
        <v>70</v>
      </c>
      <c r="C27" s="50"/>
      <c r="D27" s="56" cm="1">
        <f t="array" ref="D27">_xlfn.SWITCH(E27,"+",3,"+/-",2,"-",1)</f>
        <v>2</v>
      </c>
      <c r="E27" s="48" t="s">
        <v>7</v>
      </c>
      <c r="F27" s="9"/>
      <c r="G27" s="2" t="s">
        <v>71</v>
      </c>
      <c r="H27" s="2" t="s">
        <v>72</v>
      </c>
      <c r="I27" s="9" t="s">
        <v>73</v>
      </c>
      <c r="J27" s="23" t="s">
        <v>72</v>
      </c>
    </row>
    <row r="28" spans="2:10" ht="12.75" customHeight="1" x14ac:dyDescent="0.2">
      <c r="B28" s="10" t="s">
        <v>74</v>
      </c>
      <c r="C28" s="50"/>
      <c r="D28" s="56" cm="1">
        <f t="array" ref="D28">_xlfn.SWITCH(E28,"+",3,"+/-",2,"-",1)</f>
        <v>3</v>
      </c>
      <c r="E28" s="48" t="s">
        <v>8</v>
      </c>
      <c r="F28" s="9"/>
      <c r="G28" s="2" t="s">
        <v>75</v>
      </c>
      <c r="H28" s="2" t="s">
        <v>76</v>
      </c>
      <c r="I28" s="9" t="s">
        <v>77</v>
      </c>
      <c r="J28" s="23" t="s">
        <v>75</v>
      </c>
    </row>
    <row r="29" spans="2:10" ht="12.75" customHeight="1" x14ac:dyDescent="0.2">
      <c r="B29" s="19" t="s">
        <v>78</v>
      </c>
      <c r="C29" s="51"/>
      <c r="D29" s="57" cm="1">
        <f t="array" ref="D29">_xlfn.SWITCH(E29,"+",3,"+/-",2,"-",1)</f>
        <v>2</v>
      </c>
      <c r="E29" s="48" t="s">
        <v>7</v>
      </c>
      <c r="F29" s="21"/>
      <c r="G29" s="20" t="s">
        <v>79</v>
      </c>
      <c r="H29" s="20" t="s">
        <v>80</v>
      </c>
      <c r="I29" s="21" t="s">
        <v>81</v>
      </c>
      <c r="J29" s="24" t="s">
        <v>80</v>
      </c>
    </row>
    <row r="30" spans="2:10" ht="12.75" customHeight="1" x14ac:dyDescent="0.2">
      <c r="B30" s="4" t="s">
        <v>82</v>
      </c>
      <c r="C30" s="49">
        <f>AVERAGE(D31:D36)</f>
        <v>2.2000000000000002</v>
      </c>
      <c r="D30" s="15">
        <v>0.15</v>
      </c>
      <c r="E30" s="8"/>
      <c r="F30" s="9"/>
      <c r="I30" s="9"/>
      <c r="J30" s="23"/>
    </row>
    <row r="31" spans="2:10" ht="12.75" customHeight="1" x14ac:dyDescent="0.2">
      <c r="B31" s="10" t="s">
        <v>83</v>
      </c>
      <c r="C31" s="50"/>
      <c r="D31" s="56" cm="1">
        <f t="array" ref="D31">_xlfn.SWITCH(E31,"+",3,"+/-",2,"-",1)</f>
        <v>3</v>
      </c>
      <c r="E31" s="48" t="s">
        <v>8</v>
      </c>
      <c r="F31" s="9"/>
      <c r="G31" s="2" t="s">
        <v>84</v>
      </c>
      <c r="H31" s="2" t="s">
        <v>85</v>
      </c>
      <c r="I31" s="9" t="s">
        <v>86</v>
      </c>
      <c r="J31" s="23" t="s">
        <v>87</v>
      </c>
    </row>
    <row r="32" spans="2:10" ht="12.75" customHeight="1" x14ac:dyDescent="0.2">
      <c r="B32" s="10" t="s">
        <v>88</v>
      </c>
      <c r="C32" s="50"/>
      <c r="D32" s="56" cm="1">
        <f t="array" ref="D32">_xlfn.SWITCH(E32,"+",3,"+/-",2,"-",1)</f>
        <v>1</v>
      </c>
      <c r="E32" s="48" t="s">
        <v>9</v>
      </c>
      <c r="F32" s="9"/>
      <c r="G32" s="2" t="s">
        <v>84</v>
      </c>
      <c r="H32" s="2" t="s">
        <v>85</v>
      </c>
      <c r="I32" s="9" t="s">
        <v>86</v>
      </c>
      <c r="J32" s="23" t="s">
        <v>89</v>
      </c>
    </row>
    <row r="33" spans="2:10" ht="12.75" customHeight="1" x14ac:dyDescent="0.2">
      <c r="B33" s="10" t="s">
        <v>90</v>
      </c>
      <c r="C33" s="50"/>
      <c r="D33" s="56" cm="1">
        <f t="array" ref="D33">_xlfn.SWITCH(E33,"+",3,"+/-",2,"-",1)</f>
        <v>3</v>
      </c>
      <c r="E33" s="48" t="s">
        <v>8</v>
      </c>
      <c r="F33" s="9"/>
      <c r="G33" s="2" t="s">
        <v>84</v>
      </c>
      <c r="H33" s="2" t="s">
        <v>85</v>
      </c>
      <c r="I33" s="9" t="s">
        <v>86</v>
      </c>
      <c r="J33" s="23" t="s">
        <v>91</v>
      </c>
    </row>
    <row r="34" spans="2:10" ht="12.75" customHeight="1" x14ac:dyDescent="0.2">
      <c r="B34" s="10" t="s">
        <v>92</v>
      </c>
      <c r="C34" s="50"/>
      <c r="D34" s="56"/>
      <c r="E34" s="48" t="s">
        <v>93</v>
      </c>
      <c r="F34" s="9"/>
      <c r="G34" s="2" t="s">
        <v>84</v>
      </c>
      <c r="H34" s="2" t="s">
        <v>85</v>
      </c>
      <c r="I34" s="9" t="s">
        <v>86</v>
      </c>
      <c r="J34" s="23" t="s">
        <v>93</v>
      </c>
    </row>
    <row r="35" spans="2:10" ht="12.75" customHeight="1" x14ac:dyDescent="0.2">
      <c r="B35" s="10" t="s">
        <v>94</v>
      </c>
      <c r="C35" s="50"/>
      <c r="D35" s="56" cm="1">
        <f t="array" ref="D35">_xlfn.SWITCH(E35,"+",3,"+/-",2,"-",1)</f>
        <v>2</v>
      </c>
      <c r="E35" s="48" t="s">
        <v>7</v>
      </c>
      <c r="F35" s="9"/>
      <c r="G35" s="2" t="s">
        <v>84</v>
      </c>
      <c r="H35" s="2" t="s">
        <v>85</v>
      </c>
      <c r="I35" s="9" t="s">
        <v>86</v>
      </c>
      <c r="J35" s="23" t="s">
        <v>95</v>
      </c>
    </row>
    <row r="36" spans="2:10" ht="12.75" customHeight="1" x14ac:dyDescent="0.2">
      <c r="B36" s="19" t="s">
        <v>96</v>
      </c>
      <c r="C36" s="51"/>
      <c r="D36" s="57" cm="1">
        <f t="array" ref="D36">_xlfn.SWITCH(E36,"+",3,"+/-",2,"-",1)</f>
        <v>2</v>
      </c>
      <c r="E36" s="48" t="s">
        <v>7</v>
      </c>
      <c r="F36" s="21"/>
      <c r="G36" s="20" t="s">
        <v>84</v>
      </c>
      <c r="H36" s="20" t="s">
        <v>85</v>
      </c>
      <c r="I36" s="21" t="s">
        <v>86</v>
      </c>
      <c r="J36" s="24" t="s">
        <v>97</v>
      </c>
    </row>
    <row r="37" spans="2:10" ht="12.75" customHeight="1" x14ac:dyDescent="0.2">
      <c r="B37" s="4" t="s">
        <v>135</v>
      </c>
      <c r="C37" s="49">
        <f>AVERAGE(D38:D39)</f>
        <v>2</v>
      </c>
      <c r="D37" s="15">
        <v>0.1</v>
      </c>
      <c r="E37" s="8"/>
      <c r="F37" s="9"/>
      <c r="I37" s="9"/>
      <c r="J37" s="23"/>
    </row>
    <row r="38" spans="2:10" ht="12.75" customHeight="1" x14ac:dyDescent="0.2">
      <c r="B38" s="10" t="s">
        <v>98</v>
      </c>
      <c r="C38" s="50"/>
      <c r="D38" s="56" cm="1">
        <f t="array" ref="D38">_xlfn.SWITCH(E38,"+",3,"+/-",2,"-",1)</f>
        <v>2</v>
      </c>
      <c r="E38" s="48" t="s">
        <v>7</v>
      </c>
      <c r="F38" s="9"/>
      <c r="G38" s="2" t="s">
        <v>99</v>
      </c>
      <c r="H38" s="2" t="s">
        <v>100</v>
      </c>
      <c r="I38" s="9" t="s">
        <v>101</v>
      </c>
      <c r="J38" s="23" t="s">
        <v>100</v>
      </c>
    </row>
    <row r="39" spans="2:10" ht="12.75" customHeight="1" x14ac:dyDescent="0.2">
      <c r="B39" s="19" t="s">
        <v>102</v>
      </c>
      <c r="C39" s="51"/>
      <c r="D39" s="57" cm="1">
        <f t="array" ref="D39">_xlfn.SWITCH(E39,"+",3,"+/-",2,"-",1)</f>
        <v>2</v>
      </c>
      <c r="E39" s="48" t="s">
        <v>7</v>
      </c>
      <c r="F39" s="21"/>
      <c r="G39" s="20" t="s">
        <v>103</v>
      </c>
      <c r="H39" s="20" t="s">
        <v>104</v>
      </c>
      <c r="I39" s="21" t="s">
        <v>105</v>
      </c>
      <c r="J39" s="24" t="s">
        <v>104</v>
      </c>
    </row>
    <row r="40" spans="2:10" ht="12.75" customHeight="1" x14ac:dyDescent="0.2">
      <c r="B40" s="4" t="s">
        <v>106</v>
      </c>
      <c r="C40" s="49">
        <f>AVERAGE(D41:D42)</f>
        <v>2</v>
      </c>
      <c r="D40" s="15">
        <v>0.05</v>
      </c>
      <c r="E40" s="8"/>
      <c r="F40" s="9"/>
      <c r="I40" s="9"/>
      <c r="J40" s="23"/>
    </row>
    <row r="41" spans="2:10" ht="12.75" customHeight="1" x14ac:dyDescent="0.2">
      <c r="B41" s="10" t="s">
        <v>107</v>
      </c>
      <c r="C41" s="50"/>
      <c r="D41" s="56" cm="1">
        <f t="array" ref="D41">_xlfn.SWITCH(E41,"+",3,"+/-",2,"-",1)</f>
        <v>2</v>
      </c>
      <c r="E41" s="48" t="s">
        <v>7</v>
      </c>
      <c r="F41" s="9"/>
      <c r="G41" s="2" t="s">
        <v>108</v>
      </c>
      <c r="H41" s="2" t="s">
        <v>109</v>
      </c>
      <c r="I41" s="9" t="s">
        <v>110</v>
      </c>
      <c r="J41" s="23" t="s">
        <v>109</v>
      </c>
    </row>
    <row r="42" spans="2:10" ht="12.75" customHeight="1" x14ac:dyDescent="0.2">
      <c r="B42" s="11" t="s">
        <v>111</v>
      </c>
      <c r="C42" s="52"/>
      <c r="D42" s="56" cm="1">
        <f t="array" ref="D42">_xlfn.SWITCH(E42,"+",3,"+/-",2,"-",1)</f>
        <v>2</v>
      </c>
      <c r="E42" s="48" t="s">
        <v>7</v>
      </c>
      <c r="F42" s="13"/>
      <c r="G42" s="12" t="s">
        <v>112</v>
      </c>
      <c r="H42" s="12" t="s">
        <v>113</v>
      </c>
      <c r="I42" s="13" t="s">
        <v>114</v>
      </c>
      <c r="J42" s="25" t="s">
        <v>113</v>
      </c>
    </row>
    <row r="43" spans="2:10" x14ac:dyDescent="0.2">
      <c r="B43" s="14" t="s">
        <v>115</v>
      </c>
      <c r="C43" s="49">
        <f>SUMPRODUCT(C8:C42,D8:D42)</f>
        <v>2.3575000000000004</v>
      </c>
      <c r="D43" s="18" t="s">
        <v>116</v>
      </c>
      <c r="E43" s="18"/>
      <c r="F43" s="16"/>
      <c r="G43" s="16"/>
      <c r="H43" s="16"/>
      <c r="I43" s="16"/>
      <c r="J43" s="17"/>
    </row>
    <row r="44" spans="2:10" x14ac:dyDescent="0.2">
      <c r="D44" s="3"/>
    </row>
    <row r="45" spans="2:10" ht="15" x14ac:dyDescent="0.2">
      <c r="B45" s="35" t="s">
        <v>117</v>
      </c>
      <c r="C45" s="36" t="s">
        <v>0</v>
      </c>
      <c r="D45" s="37" t="s">
        <v>1</v>
      </c>
      <c r="E45" s="38" t="s">
        <v>2</v>
      </c>
      <c r="F45" s="39"/>
      <c r="G45" s="58" t="s">
        <v>2</v>
      </c>
      <c r="H45" s="59"/>
      <c r="I45" s="60"/>
      <c r="J45" s="40" t="s">
        <v>4</v>
      </c>
    </row>
    <row r="46" spans="2:10" x14ac:dyDescent="0.2">
      <c r="B46" s="41"/>
      <c r="C46" s="42" t="s">
        <v>118</v>
      </c>
      <c r="D46" s="43" t="s">
        <v>6</v>
      </c>
      <c r="E46" s="44" t="s">
        <v>7</v>
      </c>
      <c r="F46" s="45"/>
      <c r="G46" s="44" t="s">
        <v>8</v>
      </c>
      <c r="H46" s="44" t="s">
        <v>7</v>
      </c>
      <c r="I46" s="45" t="s">
        <v>9</v>
      </c>
      <c r="J46" s="46"/>
    </row>
    <row r="47" spans="2:10" x14ac:dyDescent="0.2">
      <c r="B47" s="26" t="s">
        <v>119</v>
      </c>
      <c r="C47" s="48">
        <v>5</v>
      </c>
      <c r="D47" s="27">
        <v>0.15</v>
      </c>
      <c r="E47" s="48" t="s">
        <v>7</v>
      </c>
      <c r="F47" s="9"/>
      <c r="G47" s="2" t="s">
        <v>171</v>
      </c>
      <c r="H47" s="2" t="s">
        <v>172</v>
      </c>
      <c r="I47" s="9" t="s">
        <v>170</v>
      </c>
      <c r="J47" s="23" t="s">
        <v>120</v>
      </c>
    </row>
    <row r="48" spans="2:10" x14ac:dyDescent="0.2">
      <c r="B48" s="26" t="s">
        <v>121</v>
      </c>
      <c r="C48" s="48">
        <v>5</v>
      </c>
      <c r="D48" s="27">
        <v>0.15</v>
      </c>
      <c r="E48" s="48" t="s">
        <v>8</v>
      </c>
      <c r="F48" s="9"/>
      <c r="G48" s="2" t="s">
        <v>144</v>
      </c>
      <c r="H48" s="2" t="s">
        <v>145</v>
      </c>
      <c r="I48" s="9" t="s">
        <v>146</v>
      </c>
      <c r="J48" s="23" t="s">
        <v>122</v>
      </c>
    </row>
    <row r="49" spans="2:10" x14ac:dyDescent="0.2">
      <c r="B49" s="26" t="s">
        <v>123</v>
      </c>
      <c r="C49" s="48">
        <v>5</v>
      </c>
      <c r="D49" s="27">
        <v>0.1</v>
      </c>
      <c r="E49" s="48" t="s">
        <v>8</v>
      </c>
      <c r="F49" s="9"/>
      <c r="G49" s="2" t="s">
        <v>147</v>
      </c>
      <c r="H49" s="2" t="s">
        <v>148</v>
      </c>
      <c r="I49" s="9" t="s">
        <v>149</v>
      </c>
      <c r="J49" s="23" t="s">
        <v>124</v>
      </c>
    </row>
    <row r="50" spans="2:10" x14ac:dyDescent="0.2">
      <c r="B50" s="26" t="s">
        <v>125</v>
      </c>
      <c r="C50" s="48">
        <v>5</v>
      </c>
      <c r="D50" s="27">
        <v>0.1</v>
      </c>
      <c r="E50" s="48" t="s">
        <v>8</v>
      </c>
      <c r="F50" s="9"/>
      <c r="G50" s="2" t="s">
        <v>126</v>
      </c>
      <c r="H50" s="2" t="s">
        <v>127</v>
      </c>
      <c r="I50" s="9" t="s">
        <v>150</v>
      </c>
      <c r="J50" s="23" t="s">
        <v>128</v>
      </c>
    </row>
    <row r="51" spans="2:10" x14ac:dyDescent="0.2">
      <c r="B51" s="26" t="s">
        <v>142</v>
      </c>
      <c r="C51" s="48">
        <v>5</v>
      </c>
      <c r="D51" s="27">
        <v>0.1</v>
      </c>
      <c r="E51" s="48" t="s">
        <v>8</v>
      </c>
      <c r="F51" s="9"/>
      <c r="G51" s="2" t="s">
        <v>152</v>
      </c>
      <c r="H51" s="2" t="s">
        <v>153</v>
      </c>
      <c r="I51" s="9" t="s">
        <v>151</v>
      </c>
      <c r="J51" s="23"/>
    </row>
    <row r="52" spans="2:10" ht="15" x14ac:dyDescent="0.2">
      <c r="B52" s="53" t="s">
        <v>169</v>
      </c>
      <c r="C52" s="48">
        <v>5</v>
      </c>
      <c r="D52" s="27">
        <v>0.1</v>
      </c>
      <c r="E52" s="48"/>
      <c r="F52" s="9"/>
      <c r="G52" s="2" t="s">
        <v>168</v>
      </c>
      <c r="H52" s="2" t="s">
        <v>167</v>
      </c>
      <c r="I52" s="9" t="s">
        <v>166</v>
      </c>
      <c r="J52" s="23"/>
    </row>
    <row r="53" spans="2:10" x14ac:dyDescent="0.2">
      <c r="B53" s="26" t="s">
        <v>129</v>
      </c>
      <c r="C53" s="48">
        <v>5</v>
      </c>
      <c r="D53" s="27">
        <v>0.1</v>
      </c>
      <c r="E53" s="48" t="s">
        <v>7</v>
      </c>
      <c r="F53" s="9"/>
      <c r="G53" s="2" t="s">
        <v>155</v>
      </c>
      <c r="H53" s="2" t="s">
        <v>156</v>
      </c>
      <c r="I53" s="9" t="s">
        <v>154</v>
      </c>
      <c r="J53" s="23" t="s">
        <v>36</v>
      </c>
    </row>
    <row r="54" spans="2:10" x14ac:dyDescent="0.2">
      <c r="B54" s="26" t="s">
        <v>130</v>
      </c>
      <c r="C54" s="48">
        <v>5</v>
      </c>
      <c r="D54" s="27">
        <v>0.05</v>
      </c>
      <c r="E54" s="48" t="s">
        <v>8</v>
      </c>
      <c r="F54" s="9"/>
      <c r="G54" s="2" t="s">
        <v>157</v>
      </c>
      <c r="H54" s="2" t="s">
        <v>158</v>
      </c>
      <c r="I54" s="9" t="s">
        <v>159</v>
      </c>
      <c r="J54" s="23" t="s">
        <v>131</v>
      </c>
    </row>
    <row r="55" spans="2:10" x14ac:dyDescent="0.2">
      <c r="B55" s="26" t="s">
        <v>132</v>
      </c>
      <c r="C55" s="48">
        <v>5</v>
      </c>
      <c r="D55" s="27">
        <v>0.05</v>
      </c>
      <c r="E55" s="48" t="s">
        <v>7</v>
      </c>
      <c r="F55" s="9"/>
      <c r="G55" s="2" t="s">
        <v>161</v>
      </c>
      <c r="H55" s="2" t="s">
        <v>160</v>
      </c>
      <c r="I55" s="9" t="s">
        <v>162</v>
      </c>
      <c r="J55" s="23" t="s">
        <v>133</v>
      </c>
    </row>
    <row r="56" spans="2:10" x14ac:dyDescent="0.2">
      <c r="B56" s="26" t="s">
        <v>143</v>
      </c>
      <c r="C56" s="48">
        <v>5</v>
      </c>
      <c r="D56" s="27">
        <v>0.1</v>
      </c>
      <c r="E56" s="48" t="s">
        <v>7</v>
      </c>
      <c r="G56" s="2" t="s">
        <v>163</v>
      </c>
      <c r="H56" s="2" t="s">
        <v>164</v>
      </c>
      <c r="I56" s="2" t="s">
        <v>165</v>
      </c>
      <c r="J56" s="9"/>
    </row>
    <row r="57" spans="2:10" x14ac:dyDescent="0.2">
      <c r="B57" s="14" t="s">
        <v>115</v>
      </c>
      <c r="C57" s="47">
        <f>SUMPRODUCT(C47:C55,D47:D55)</f>
        <v>4.5</v>
      </c>
      <c r="D57" s="18" t="s">
        <v>134</v>
      </c>
      <c r="E57" s="18"/>
      <c r="F57" s="16"/>
      <c r="G57" s="16"/>
      <c r="H57" s="16"/>
      <c r="I57" s="16"/>
      <c r="J57" s="17"/>
    </row>
    <row r="58" spans="2:10" x14ac:dyDescent="0.2">
      <c r="D58" s="3">
        <f>SUM(D47:D56)</f>
        <v>1</v>
      </c>
    </row>
    <row r="59" spans="2:10" ht="15" x14ac:dyDescent="0.2">
      <c r="B59" s="35" t="s">
        <v>117</v>
      </c>
      <c r="C59" s="36" t="s">
        <v>0</v>
      </c>
      <c r="D59" s="37" t="s">
        <v>1</v>
      </c>
      <c r="E59" s="38" t="s">
        <v>2</v>
      </c>
      <c r="F59" s="39"/>
      <c r="G59" s="58" t="s">
        <v>2</v>
      </c>
      <c r="H59" s="59"/>
      <c r="I59" s="60"/>
      <c r="J59" s="40" t="s">
        <v>4</v>
      </c>
    </row>
    <row r="60" spans="2:10" x14ac:dyDescent="0.2">
      <c r="B60" s="41"/>
      <c r="C60" s="42" t="s">
        <v>118</v>
      </c>
      <c r="D60" s="43" t="s">
        <v>6</v>
      </c>
      <c r="E60" s="44" t="s">
        <v>7</v>
      </c>
      <c r="F60" s="45"/>
      <c r="G60" s="44" t="s">
        <v>8</v>
      </c>
      <c r="H60" s="44" t="s">
        <v>7</v>
      </c>
      <c r="I60" s="45" t="s">
        <v>9</v>
      </c>
      <c r="J60" s="46"/>
    </row>
    <row r="61" spans="2:10" x14ac:dyDescent="0.2">
      <c r="B61" s="26" t="s">
        <v>119</v>
      </c>
      <c r="C61" s="48">
        <v>5</v>
      </c>
      <c r="D61" s="27">
        <v>0.15</v>
      </c>
      <c r="E61" s="48" t="s">
        <v>7</v>
      </c>
      <c r="F61" s="9"/>
      <c r="G61" s="2" t="s">
        <v>171</v>
      </c>
      <c r="H61" s="2" t="s">
        <v>172</v>
      </c>
      <c r="I61" s="9" t="s">
        <v>170</v>
      </c>
      <c r="J61" s="23" t="s">
        <v>120</v>
      </c>
    </row>
    <row r="62" spans="2:10" x14ac:dyDescent="0.2">
      <c r="B62" s="26" t="s">
        <v>121</v>
      </c>
      <c r="C62" s="48">
        <v>5</v>
      </c>
      <c r="D62" s="27">
        <v>0.15</v>
      </c>
      <c r="E62" s="48" t="s">
        <v>8</v>
      </c>
      <c r="F62" s="9"/>
      <c r="G62" s="2" t="s">
        <v>144</v>
      </c>
      <c r="H62" s="2" t="s">
        <v>145</v>
      </c>
      <c r="I62" s="9" t="s">
        <v>146</v>
      </c>
      <c r="J62" s="23" t="s">
        <v>122</v>
      </c>
    </row>
    <row r="63" spans="2:10" x14ac:dyDescent="0.2">
      <c r="B63" s="26" t="s">
        <v>123</v>
      </c>
      <c r="C63" s="48">
        <v>5</v>
      </c>
      <c r="D63" s="27">
        <v>0.1</v>
      </c>
      <c r="E63" s="48" t="s">
        <v>8</v>
      </c>
      <c r="F63" s="9"/>
      <c r="G63" s="2" t="s">
        <v>147</v>
      </c>
      <c r="H63" s="2" t="s">
        <v>148</v>
      </c>
      <c r="I63" s="9" t="s">
        <v>149</v>
      </c>
      <c r="J63" s="23" t="s">
        <v>124</v>
      </c>
    </row>
    <row r="64" spans="2:10" x14ac:dyDescent="0.2">
      <c r="B64" s="26" t="s">
        <v>125</v>
      </c>
      <c r="C64" s="48">
        <v>5</v>
      </c>
      <c r="D64" s="27">
        <v>0.1</v>
      </c>
      <c r="E64" s="48" t="s">
        <v>8</v>
      </c>
      <c r="F64" s="9"/>
      <c r="G64" s="2" t="s">
        <v>126</v>
      </c>
      <c r="H64" s="2" t="s">
        <v>127</v>
      </c>
      <c r="I64" s="9" t="s">
        <v>150</v>
      </c>
      <c r="J64" s="23" t="s">
        <v>128</v>
      </c>
    </row>
    <row r="65" spans="2:10" x14ac:dyDescent="0.2">
      <c r="B65" s="26" t="s">
        <v>142</v>
      </c>
      <c r="C65" s="48">
        <v>5</v>
      </c>
      <c r="D65" s="27">
        <v>0.1</v>
      </c>
      <c r="E65" s="48" t="s">
        <v>8</v>
      </c>
      <c r="F65" s="9"/>
      <c r="G65" s="2" t="s">
        <v>152</v>
      </c>
      <c r="H65" s="2" t="s">
        <v>153</v>
      </c>
      <c r="I65" s="9" t="s">
        <v>151</v>
      </c>
      <c r="J65" s="23"/>
    </row>
    <row r="66" spans="2:10" ht="15" x14ac:dyDescent="0.2">
      <c r="B66" s="53" t="s">
        <v>169</v>
      </c>
      <c r="C66" s="48">
        <v>5</v>
      </c>
      <c r="D66" s="27">
        <v>0.1</v>
      </c>
      <c r="E66" s="48"/>
      <c r="F66" s="9"/>
      <c r="G66" s="2" t="s">
        <v>168</v>
      </c>
      <c r="H66" s="2" t="s">
        <v>167</v>
      </c>
      <c r="I66" s="9" t="s">
        <v>166</v>
      </c>
      <c r="J66" s="23"/>
    </row>
    <row r="67" spans="2:10" x14ac:dyDescent="0.2">
      <c r="B67" s="26" t="s">
        <v>129</v>
      </c>
      <c r="C67" s="48">
        <v>5</v>
      </c>
      <c r="D67" s="27">
        <v>0.1</v>
      </c>
      <c r="E67" s="48" t="s">
        <v>7</v>
      </c>
      <c r="F67" s="9"/>
      <c r="G67" s="2" t="s">
        <v>155</v>
      </c>
      <c r="H67" s="2" t="s">
        <v>156</v>
      </c>
      <c r="I67" s="9" t="s">
        <v>154</v>
      </c>
      <c r="J67" s="23" t="s">
        <v>36</v>
      </c>
    </row>
    <row r="68" spans="2:10" x14ac:dyDescent="0.2">
      <c r="B68" s="26" t="s">
        <v>130</v>
      </c>
      <c r="C68" s="48">
        <v>5</v>
      </c>
      <c r="D68" s="27">
        <v>0.05</v>
      </c>
      <c r="E68" s="48" t="s">
        <v>8</v>
      </c>
      <c r="F68" s="9"/>
      <c r="G68" s="2" t="s">
        <v>157</v>
      </c>
      <c r="H68" s="2" t="s">
        <v>158</v>
      </c>
      <c r="I68" s="9" t="s">
        <v>159</v>
      </c>
      <c r="J68" s="23" t="s">
        <v>131</v>
      </c>
    </row>
    <row r="69" spans="2:10" x14ac:dyDescent="0.2">
      <c r="B69" s="26" t="s">
        <v>132</v>
      </c>
      <c r="C69" s="48">
        <v>5</v>
      </c>
      <c r="D69" s="27">
        <v>0.05</v>
      </c>
      <c r="E69" s="48" t="s">
        <v>7</v>
      </c>
      <c r="F69" s="9"/>
      <c r="G69" s="2" t="s">
        <v>161</v>
      </c>
      <c r="H69" s="2" t="s">
        <v>160</v>
      </c>
      <c r="I69" s="9" t="s">
        <v>162</v>
      </c>
      <c r="J69" s="23" t="s">
        <v>133</v>
      </c>
    </row>
    <row r="70" spans="2:10" x14ac:dyDescent="0.2">
      <c r="B70" s="26" t="s">
        <v>143</v>
      </c>
      <c r="C70" s="48">
        <v>5</v>
      </c>
      <c r="D70" s="27">
        <v>0.1</v>
      </c>
      <c r="E70" s="48" t="s">
        <v>7</v>
      </c>
      <c r="G70" s="2" t="s">
        <v>163</v>
      </c>
      <c r="H70" s="2" t="s">
        <v>164</v>
      </c>
      <c r="I70" s="2" t="s">
        <v>165</v>
      </c>
      <c r="J70" s="9"/>
    </row>
    <row r="71" spans="2:10" x14ac:dyDescent="0.2">
      <c r="B71" s="14" t="s">
        <v>115</v>
      </c>
      <c r="C71" s="47">
        <f>SUMPRODUCT(C61:C69,D61:D69)</f>
        <v>4.5</v>
      </c>
      <c r="D71" s="18" t="s">
        <v>134</v>
      </c>
      <c r="E71" s="18"/>
      <c r="F71" s="16"/>
      <c r="G71" s="16"/>
      <c r="H71" s="16"/>
      <c r="I71" s="16"/>
      <c r="J71" s="17"/>
    </row>
    <row r="72" spans="2:10" x14ac:dyDescent="0.2">
      <c r="D72" s="3">
        <f>SUM(D61:D70)</f>
        <v>1</v>
      </c>
    </row>
    <row r="73" spans="2:10" ht="15" x14ac:dyDescent="0.2">
      <c r="B73" s="35" t="s">
        <v>117</v>
      </c>
      <c r="C73" s="36" t="s">
        <v>0</v>
      </c>
      <c r="D73" s="37" t="s">
        <v>1</v>
      </c>
      <c r="E73" s="38" t="s">
        <v>2</v>
      </c>
      <c r="F73" s="39"/>
      <c r="G73" s="58" t="s">
        <v>2</v>
      </c>
      <c r="H73" s="59"/>
      <c r="I73" s="60"/>
      <c r="J73" s="40" t="s">
        <v>4</v>
      </c>
    </row>
    <row r="74" spans="2:10" x14ac:dyDescent="0.2">
      <c r="B74" s="41"/>
      <c r="C74" s="42" t="s">
        <v>118</v>
      </c>
      <c r="D74" s="43" t="s">
        <v>6</v>
      </c>
      <c r="E74" s="44" t="s">
        <v>7</v>
      </c>
      <c r="F74" s="45"/>
      <c r="G74" s="44" t="s">
        <v>8</v>
      </c>
      <c r="H74" s="44" t="s">
        <v>7</v>
      </c>
      <c r="I74" s="45" t="s">
        <v>9</v>
      </c>
      <c r="J74" s="46"/>
    </row>
    <row r="75" spans="2:10" x14ac:dyDescent="0.2">
      <c r="B75" s="26" t="s">
        <v>119</v>
      </c>
      <c r="C75" s="48">
        <v>5</v>
      </c>
      <c r="D75" s="27">
        <v>0.15</v>
      </c>
      <c r="E75" s="48" t="s">
        <v>7</v>
      </c>
      <c r="F75" s="9"/>
      <c r="G75" s="2" t="s">
        <v>171</v>
      </c>
      <c r="H75" s="2" t="s">
        <v>172</v>
      </c>
      <c r="I75" s="9" t="s">
        <v>170</v>
      </c>
      <c r="J75" s="23" t="s">
        <v>120</v>
      </c>
    </row>
    <row r="76" spans="2:10" x14ac:dyDescent="0.2">
      <c r="B76" s="26" t="s">
        <v>121</v>
      </c>
      <c r="C76" s="48">
        <v>5</v>
      </c>
      <c r="D76" s="27">
        <v>0.15</v>
      </c>
      <c r="E76" s="48" t="s">
        <v>8</v>
      </c>
      <c r="F76" s="9"/>
      <c r="G76" s="2" t="s">
        <v>144</v>
      </c>
      <c r="H76" s="2" t="s">
        <v>145</v>
      </c>
      <c r="I76" s="9" t="s">
        <v>146</v>
      </c>
      <c r="J76" s="23" t="s">
        <v>122</v>
      </c>
    </row>
    <row r="77" spans="2:10" x14ac:dyDescent="0.2">
      <c r="B77" s="26" t="s">
        <v>123</v>
      </c>
      <c r="C77" s="48">
        <v>5</v>
      </c>
      <c r="D77" s="27">
        <v>0.1</v>
      </c>
      <c r="E77" s="48" t="s">
        <v>8</v>
      </c>
      <c r="F77" s="9"/>
      <c r="G77" s="2" t="s">
        <v>147</v>
      </c>
      <c r="H77" s="2" t="s">
        <v>148</v>
      </c>
      <c r="I77" s="9" t="s">
        <v>149</v>
      </c>
      <c r="J77" s="23" t="s">
        <v>124</v>
      </c>
    </row>
    <row r="78" spans="2:10" x14ac:dyDescent="0.2">
      <c r="B78" s="26" t="s">
        <v>125</v>
      </c>
      <c r="C78" s="48">
        <v>5</v>
      </c>
      <c r="D78" s="27">
        <v>0.1</v>
      </c>
      <c r="E78" s="48" t="s">
        <v>8</v>
      </c>
      <c r="F78" s="9"/>
      <c r="G78" s="2" t="s">
        <v>126</v>
      </c>
      <c r="H78" s="2" t="s">
        <v>127</v>
      </c>
      <c r="I78" s="9" t="s">
        <v>150</v>
      </c>
      <c r="J78" s="23" t="s">
        <v>128</v>
      </c>
    </row>
    <row r="79" spans="2:10" x14ac:dyDescent="0.2">
      <c r="B79" s="26" t="s">
        <v>142</v>
      </c>
      <c r="C79" s="48">
        <v>5</v>
      </c>
      <c r="D79" s="27">
        <v>0.1</v>
      </c>
      <c r="E79" s="48" t="s">
        <v>8</v>
      </c>
      <c r="F79" s="9"/>
      <c r="G79" s="2" t="s">
        <v>152</v>
      </c>
      <c r="H79" s="2" t="s">
        <v>153</v>
      </c>
      <c r="I79" s="9" t="s">
        <v>151</v>
      </c>
      <c r="J79" s="23"/>
    </row>
    <row r="80" spans="2:10" ht="15" x14ac:dyDescent="0.2">
      <c r="B80" s="53" t="s">
        <v>169</v>
      </c>
      <c r="C80" s="48">
        <v>5</v>
      </c>
      <c r="D80" s="27">
        <v>0.1</v>
      </c>
      <c r="E80" s="48"/>
      <c r="F80" s="9"/>
      <c r="G80" s="2" t="s">
        <v>168</v>
      </c>
      <c r="H80" s="2" t="s">
        <v>167</v>
      </c>
      <c r="I80" s="9" t="s">
        <v>166</v>
      </c>
      <c r="J80" s="23"/>
    </row>
    <row r="81" spans="2:10" x14ac:dyDescent="0.2">
      <c r="B81" s="26" t="s">
        <v>129</v>
      </c>
      <c r="C81" s="48">
        <v>5</v>
      </c>
      <c r="D81" s="27">
        <v>0.1</v>
      </c>
      <c r="E81" s="48" t="s">
        <v>7</v>
      </c>
      <c r="F81" s="9"/>
      <c r="G81" s="2" t="s">
        <v>155</v>
      </c>
      <c r="H81" s="2" t="s">
        <v>156</v>
      </c>
      <c r="I81" s="9" t="s">
        <v>154</v>
      </c>
      <c r="J81" s="23" t="s">
        <v>36</v>
      </c>
    </row>
    <row r="82" spans="2:10" x14ac:dyDescent="0.2">
      <c r="B82" s="26" t="s">
        <v>130</v>
      </c>
      <c r="C82" s="48">
        <v>5</v>
      </c>
      <c r="D82" s="27">
        <v>0.05</v>
      </c>
      <c r="E82" s="48" t="s">
        <v>8</v>
      </c>
      <c r="F82" s="9"/>
      <c r="G82" s="2" t="s">
        <v>157</v>
      </c>
      <c r="H82" s="2" t="s">
        <v>158</v>
      </c>
      <c r="I82" s="9" t="s">
        <v>159</v>
      </c>
      <c r="J82" s="23" t="s">
        <v>131</v>
      </c>
    </row>
    <row r="83" spans="2:10" x14ac:dyDescent="0.2">
      <c r="B83" s="26" t="s">
        <v>132</v>
      </c>
      <c r="C83" s="48">
        <v>5</v>
      </c>
      <c r="D83" s="27">
        <v>0.05</v>
      </c>
      <c r="E83" s="48" t="s">
        <v>7</v>
      </c>
      <c r="F83" s="9"/>
      <c r="G83" s="2" t="s">
        <v>161</v>
      </c>
      <c r="H83" s="2" t="s">
        <v>160</v>
      </c>
      <c r="I83" s="9" t="s">
        <v>162</v>
      </c>
      <c r="J83" s="23" t="s">
        <v>133</v>
      </c>
    </row>
    <row r="84" spans="2:10" x14ac:dyDescent="0.2">
      <c r="B84" s="26" t="s">
        <v>143</v>
      </c>
      <c r="C84" s="48">
        <v>5</v>
      </c>
      <c r="D84" s="27">
        <v>0.1</v>
      </c>
      <c r="E84" s="48" t="s">
        <v>7</v>
      </c>
      <c r="G84" s="2" t="s">
        <v>163</v>
      </c>
      <c r="H84" s="2" t="s">
        <v>164</v>
      </c>
      <c r="I84" s="2" t="s">
        <v>165</v>
      </c>
      <c r="J84" s="9"/>
    </row>
    <row r="85" spans="2:10" x14ac:dyDescent="0.2">
      <c r="B85" s="14" t="s">
        <v>115</v>
      </c>
      <c r="C85" s="47">
        <f>SUMPRODUCT(C75:C83,D75:D83)</f>
        <v>4.5</v>
      </c>
      <c r="D85" s="18" t="s">
        <v>134</v>
      </c>
      <c r="E85" s="18"/>
      <c r="F85" s="16"/>
      <c r="G85" s="16"/>
      <c r="H85" s="16"/>
      <c r="I85" s="16"/>
      <c r="J85" s="17"/>
    </row>
    <row r="86" spans="2:10" x14ac:dyDescent="0.2">
      <c r="D86" s="3">
        <f>SUM(D75:D84)</f>
        <v>1</v>
      </c>
    </row>
    <row r="87" spans="2:10" ht="15" x14ac:dyDescent="0.2">
      <c r="B87" s="35" t="s">
        <v>117</v>
      </c>
      <c r="C87" s="36" t="s">
        <v>0</v>
      </c>
      <c r="D87" s="37" t="s">
        <v>1</v>
      </c>
      <c r="E87" s="38" t="s">
        <v>2</v>
      </c>
      <c r="F87" s="39"/>
      <c r="G87" s="58" t="s">
        <v>2</v>
      </c>
      <c r="H87" s="59"/>
      <c r="I87" s="60"/>
      <c r="J87" s="40" t="s">
        <v>4</v>
      </c>
    </row>
    <row r="88" spans="2:10" x14ac:dyDescent="0.2">
      <c r="B88" s="41"/>
      <c r="C88" s="42" t="s">
        <v>118</v>
      </c>
      <c r="D88" s="43" t="s">
        <v>6</v>
      </c>
      <c r="E88" s="44" t="s">
        <v>7</v>
      </c>
      <c r="F88" s="45"/>
      <c r="G88" s="44" t="s">
        <v>8</v>
      </c>
      <c r="H88" s="44" t="s">
        <v>7</v>
      </c>
      <c r="I88" s="45" t="s">
        <v>9</v>
      </c>
      <c r="J88" s="46"/>
    </row>
    <row r="89" spans="2:10" x14ac:dyDescent="0.2">
      <c r="B89" s="26" t="s">
        <v>119</v>
      </c>
      <c r="C89" s="48">
        <v>5</v>
      </c>
      <c r="D89" s="27">
        <v>0.15</v>
      </c>
      <c r="E89" s="48" t="s">
        <v>7</v>
      </c>
      <c r="F89" s="9"/>
      <c r="G89" s="2" t="s">
        <v>171</v>
      </c>
      <c r="H89" s="2" t="s">
        <v>172</v>
      </c>
      <c r="I89" s="9" t="s">
        <v>170</v>
      </c>
      <c r="J89" s="23" t="s">
        <v>120</v>
      </c>
    </row>
    <row r="90" spans="2:10" x14ac:dyDescent="0.2">
      <c r="B90" s="26" t="s">
        <v>121</v>
      </c>
      <c r="C90" s="48">
        <v>5</v>
      </c>
      <c r="D90" s="27">
        <v>0.15</v>
      </c>
      <c r="E90" s="48" t="s">
        <v>8</v>
      </c>
      <c r="F90" s="9"/>
      <c r="G90" s="2" t="s">
        <v>144</v>
      </c>
      <c r="H90" s="2" t="s">
        <v>145</v>
      </c>
      <c r="I90" s="9" t="s">
        <v>146</v>
      </c>
      <c r="J90" s="23" t="s">
        <v>122</v>
      </c>
    </row>
    <row r="91" spans="2:10" x14ac:dyDescent="0.2">
      <c r="B91" s="26" t="s">
        <v>123</v>
      </c>
      <c r="C91" s="48">
        <v>5</v>
      </c>
      <c r="D91" s="27">
        <v>0.1</v>
      </c>
      <c r="E91" s="48" t="s">
        <v>8</v>
      </c>
      <c r="F91" s="9"/>
      <c r="G91" s="2" t="s">
        <v>147</v>
      </c>
      <c r="H91" s="2" t="s">
        <v>148</v>
      </c>
      <c r="I91" s="9" t="s">
        <v>149</v>
      </c>
      <c r="J91" s="23" t="s">
        <v>124</v>
      </c>
    </row>
    <row r="92" spans="2:10" x14ac:dyDescent="0.2">
      <c r="B92" s="26" t="s">
        <v>125</v>
      </c>
      <c r="C92" s="48">
        <v>5</v>
      </c>
      <c r="D92" s="27">
        <v>0.1</v>
      </c>
      <c r="E92" s="48" t="s">
        <v>8</v>
      </c>
      <c r="F92" s="9"/>
      <c r="G92" s="2" t="s">
        <v>126</v>
      </c>
      <c r="H92" s="2" t="s">
        <v>127</v>
      </c>
      <c r="I92" s="9" t="s">
        <v>150</v>
      </c>
      <c r="J92" s="23" t="s">
        <v>128</v>
      </c>
    </row>
    <row r="93" spans="2:10" x14ac:dyDescent="0.2">
      <c r="B93" s="26" t="s">
        <v>142</v>
      </c>
      <c r="C93" s="48">
        <v>5</v>
      </c>
      <c r="D93" s="27">
        <v>0.1</v>
      </c>
      <c r="E93" s="48" t="s">
        <v>8</v>
      </c>
      <c r="F93" s="9"/>
      <c r="G93" s="2" t="s">
        <v>152</v>
      </c>
      <c r="H93" s="2" t="s">
        <v>153</v>
      </c>
      <c r="I93" s="9" t="s">
        <v>151</v>
      </c>
      <c r="J93" s="23"/>
    </row>
    <row r="94" spans="2:10" ht="15" x14ac:dyDescent="0.2">
      <c r="B94" s="53" t="s">
        <v>169</v>
      </c>
      <c r="C94" s="48">
        <v>5</v>
      </c>
      <c r="D94" s="27">
        <v>0.1</v>
      </c>
      <c r="E94" s="48"/>
      <c r="F94" s="9"/>
      <c r="G94" s="2" t="s">
        <v>168</v>
      </c>
      <c r="H94" s="2" t="s">
        <v>167</v>
      </c>
      <c r="I94" s="9" t="s">
        <v>166</v>
      </c>
      <c r="J94" s="23"/>
    </row>
    <row r="95" spans="2:10" x14ac:dyDescent="0.2">
      <c r="B95" s="26" t="s">
        <v>129</v>
      </c>
      <c r="C95" s="48">
        <v>5</v>
      </c>
      <c r="D95" s="27">
        <v>0.1</v>
      </c>
      <c r="E95" s="48" t="s">
        <v>7</v>
      </c>
      <c r="F95" s="9"/>
      <c r="G95" s="2" t="s">
        <v>155</v>
      </c>
      <c r="H95" s="2" t="s">
        <v>156</v>
      </c>
      <c r="I95" s="9" t="s">
        <v>154</v>
      </c>
      <c r="J95" s="23" t="s">
        <v>36</v>
      </c>
    </row>
    <row r="96" spans="2:10" x14ac:dyDescent="0.2">
      <c r="B96" s="26" t="s">
        <v>130</v>
      </c>
      <c r="C96" s="48">
        <v>5</v>
      </c>
      <c r="D96" s="27">
        <v>0.05</v>
      </c>
      <c r="E96" s="48" t="s">
        <v>8</v>
      </c>
      <c r="F96" s="9"/>
      <c r="G96" s="2" t="s">
        <v>157</v>
      </c>
      <c r="H96" s="2" t="s">
        <v>158</v>
      </c>
      <c r="I96" s="9" t="s">
        <v>159</v>
      </c>
      <c r="J96" s="23" t="s">
        <v>131</v>
      </c>
    </row>
    <row r="97" spans="2:10" x14ac:dyDescent="0.2">
      <c r="B97" s="26" t="s">
        <v>132</v>
      </c>
      <c r="C97" s="48">
        <v>5</v>
      </c>
      <c r="D97" s="27">
        <v>0.05</v>
      </c>
      <c r="E97" s="48" t="s">
        <v>7</v>
      </c>
      <c r="F97" s="9"/>
      <c r="G97" s="2" t="s">
        <v>161</v>
      </c>
      <c r="H97" s="2" t="s">
        <v>160</v>
      </c>
      <c r="I97" s="9" t="s">
        <v>162</v>
      </c>
      <c r="J97" s="23" t="s">
        <v>133</v>
      </c>
    </row>
    <row r="98" spans="2:10" x14ac:dyDescent="0.2">
      <c r="B98" s="26" t="s">
        <v>143</v>
      </c>
      <c r="C98" s="48">
        <v>5</v>
      </c>
      <c r="D98" s="27">
        <v>0.1</v>
      </c>
      <c r="E98" s="48" t="s">
        <v>7</v>
      </c>
      <c r="G98" s="2" t="s">
        <v>163</v>
      </c>
      <c r="H98" s="2" t="s">
        <v>164</v>
      </c>
      <c r="I98" s="2" t="s">
        <v>165</v>
      </c>
      <c r="J98" s="9"/>
    </row>
    <row r="99" spans="2:10" x14ac:dyDescent="0.2">
      <c r="B99" s="14" t="s">
        <v>115</v>
      </c>
      <c r="C99" s="47">
        <f>SUMPRODUCT(C89:C97,D89:D97)</f>
        <v>4.5</v>
      </c>
      <c r="D99" s="18" t="s">
        <v>134</v>
      </c>
      <c r="E99" s="18"/>
      <c r="F99" s="16"/>
      <c r="G99" s="16"/>
      <c r="H99" s="16"/>
      <c r="I99" s="16"/>
      <c r="J99" s="17"/>
    </row>
  </sheetData>
  <mergeCells count="5">
    <mergeCell ref="G87:I87"/>
    <mergeCell ref="G5:I5"/>
    <mergeCell ref="G45:I45"/>
    <mergeCell ref="G59:I59"/>
    <mergeCell ref="G73:I7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INITIAL SCREEN</vt:lpstr>
      <vt:lpstr>SCORECARDS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Salamunic</dc:creator>
  <cp:lastModifiedBy>K Sch</cp:lastModifiedBy>
  <dcterms:created xsi:type="dcterms:W3CDTF">2015-06-05T18:17:20Z</dcterms:created>
  <dcterms:modified xsi:type="dcterms:W3CDTF">2026-03-20T21:39:10Z</dcterms:modified>
</cp:coreProperties>
</file>